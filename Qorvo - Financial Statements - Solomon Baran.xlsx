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uofh-my.sharepoint.com/personal/srbaran_cougarnet_uh_edu/Documents/"/>
    </mc:Choice>
  </mc:AlternateContent>
  <xr:revisionPtr revIDLastSave="731" documentId="8_{9165BF79-A265-3E4E-9622-B980445B5B19}" xr6:coauthVersionLast="47" xr6:coauthVersionMax="47" xr10:uidLastSave="{E7B7AEAA-91FC-294E-A4BD-AD33E35ABEF7}"/>
  <bookViews>
    <workbookView xWindow="0" yWindow="500" windowWidth="28800" windowHeight="16100" activeTab="4" xr2:uid="{00000000-000D-0000-FFFF-FFFF00000000}"/>
  </bookViews>
  <sheets>
    <sheet name="Model" sheetId="1" r:id="rId1"/>
    <sheet name="DCF" sheetId="2" r:id="rId2"/>
    <sheet name="Relative Valuation" sheetId="5" r:id="rId3"/>
    <sheet name="Valuation" sheetId="6" r:id="rId4"/>
    <sheet name="Scenario" sheetId="7" r:id="rId5"/>
    <sheet name="Model Summary" sheetId="8" r:id="rId6"/>
    <sheet name="Share Price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BSqlRw/ofhegJf+UO/0bIRVIuC/t9BnDeuCR9cPfME8="/>
    </ext>
  </extLst>
</workbook>
</file>

<file path=xl/calcChain.xml><?xml version="1.0" encoding="utf-8"?>
<calcChain xmlns="http://schemas.openxmlformats.org/spreadsheetml/2006/main">
  <c r="B20" i="6" l="1"/>
  <c r="B19" i="6"/>
  <c r="F31" i="8"/>
  <c r="C31" i="8"/>
  <c r="D31" i="8"/>
  <c r="E31" i="8"/>
  <c r="G31" i="8"/>
  <c r="H31" i="8"/>
  <c r="I31" i="8"/>
  <c r="J31" i="8"/>
  <c r="B31" i="8"/>
  <c r="C29" i="8"/>
  <c r="D29" i="8"/>
  <c r="E29" i="8"/>
  <c r="G29" i="8"/>
  <c r="H29" i="8"/>
  <c r="I29" i="8"/>
  <c r="J29" i="8"/>
  <c r="B29" i="8"/>
  <c r="D25" i="2"/>
  <c r="E25" i="2"/>
  <c r="F25" i="2"/>
  <c r="C25" i="2"/>
  <c r="D21" i="2"/>
  <c r="E21" i="2"/>
  <c r="F21" i="2"/>
  <c r="C21" i="2"/>
  <c r="D23" i="2"/>
  <c r="E23" i="2"/>
  <c r="F23" i="2"/>
  <c r="C23" i="2"/>
  <c r="C19" i="2"/>
  <c r="D19" i="2"/>
  <c r="E19" i="2"/>
  <c r="F19" i="2"/>
  <c r="D14" i="2"/>
  <c r="E14" i="2"/>
  <c r="F14" i="2"/>
  <c r="C14" i="2"/>
  <c r="D17" i="2"/>
  <c r="E17" i="2"/>
  <c r="F17" i="2"/>
  <c r="C17" i="2"/>
  <c r="C27" i="8"/>
  <c r="D27" i="8"/>
  <c r="E27" i="8"/>
  <c r="F27" i="8"/>
  <c r="G27" i="8"/>
  <c r="H27" i="8"/>
  <c r="I27" i="8"/>
  <c r="J27" i="8"/>
  <c r="B27" i="8"/>
  <c r="E26" i="8"/>
  <c r="F26" i="8"/>
  <c r="G26" i="8"/>
  <c r="H26" i="8"/>
  <c r="I26" i="8"/>
  <c r="J26" i="8"/>
  <c r="D26" i="8"/>
  <c r="C24" i="8"/>
  <c r="D24" i="8"/>
  <c r="E24" i="8"/>
  <c r="G24" i="8"/>
  <c r="H24" i="8"/>
  <c r="I24" i="8"/>
  <c r="J24" i="8"/>
  <c r="C23" i="8"/>
  <c r="D23" i="8"/>
  <c r="E23" i="8"/>
  <c r="G23" i="8"/>
  <c r="H23" i="8"/>
  <c r="I23" i="8"/>
  <c r="J23" i="8"/>
  <c r="B21" i="8"/>
  <c r="C21" i="8"/>
  <c r="D21" i="8"/>
  <c r="E21" i="8"/>
  <c r="G21" i="8"/>
  <c r="H21" i="8"/>
  <c r="I21" i="8"/>
  <c r="J21" i="8"/>
  <c r="C20" i="8"/>
  <c r="D20" i="8"/>
  <c r="E20" i="8"/>
  <c r="F20" i="8"/>
  <c r="G20" i="8"/>
  <c r="H20" i="8"/>
  <c r="I20" i="8"/>
  <c r="J20" i="8"/>
  <c r="B20" i="8"/>
  <c r="C18" i="8"/>
  <c r="D18" i="8"/>
  <c r="E18" i="8"/>
  <c r="F18" i="8"/>
  <c r="H18" i="8"/>
  <c r="I18" i="8"/>
  <c r="J18" i="8"/>
  <c r="B18" i="8"/>
  <c r="C17" i="8"/>
  <c r="D17" i="8"/>
  <c r="E17" i="8"/>
  <c r="F17" i="8"/>
  <c r="H17" i="8"/>
  <c r="I17" i="8"/>
  <c r="J17" i="8"/>
  <c r="B17" i="8"/>
  <c r="C15" i="8"/>
  <c r="D15" i="8"/>
  <c r="E15" i="8"/>
  <c r="F15" i="8"/>
  <c r="G15" i="8"/>
  <c r="H15" i="8"/>
  <c r="I15" i="8"/>
  <c r="J15" i="8"/>
  <c r="B15" i="8"/>
  <c r="C14" i="8"/>
  <c r="D14" i="8"/>
  <c r="E14" i="8"/>
  <c r="F14" i="8"/>
  <c r="G14" i="8"/>
  <c r="H14" i="8"/>
  <c r="I14" i="8"/>
  <c r="J14" i="8"/>
  <c r="B14" i="8"/>
  <c r="F11" i="8"/>
  <c r="C11" i="8"/>
  <c r="D11" i="8"/>
  <c r="E11" i="8"/>
  <c r="G11" i="8"/>
  <c r="H11" i="8"/>
  <c r="I11" i="8"/>
  <c r="J11" i="8"/>
  <c r="B11" i="8"/>
  <c r="G12" i="8"/>
  <c r="H12" i="8"/>
  <c r="I12" i="8"/>
  <c r="J12" i="8"/>
  <c r="C9" i="8"/>
  <c r="D9" i="8"/>
  <c r="E9" i="8"/>
  <c r="F9" i="8"/>
  <c r="G9" i="8"/>
  <c r="H9" i="8"/>
  <c r="I9" i="8"/>
  <c r="J9" i="8"/>
  <c r="B9" i="8"/>
  <c r="C8" i="8"/>
  <c r="D8" i="8"/>
  <c r="E8" i="8"/>
  <c r="F8" i="8"/>
  <c r="G8" i="8"/>
  <c r="H8" i="8"/>
  <c r="I8" i="8"/>
  <c r="J8" i="8"/>
  <c r="B8" i="8"/>
  <c r="C6" i="8"/>
  <c r="D6" i="8"/>
  <c r="E6" i="8"/>
  <c r="F6" i="8"/>
  <c r="G6" i="8"/>
  <c r="H6" i="8"/>
  <c r="I6" i="8"/>
  <c r="J6" i="8"/>
  <c r="B6" i="8"/>
  <c r="C5" i="8"/>
  <c r="D5" i="8"/>
  <c r="E5" i="8"/>
  <c r="F5" i="8"/>
  <c r="G5" i="8"/>
  <c r="H5" i="8"/>
  <c r="I5" i="8"/>
  <c r="J5" i="8"/>
  <c r="B5" i="8"/>
  <c r="D3" i="8"/>
  <c r="E3" i="8"/>
  <c r="F3" i="8"/>
  <c r="G3" i="8"/>
  <c r="H3" i="8"/>
  <c r="I3" i="8"/>
  <c r="J3" i="8"/>
  <c r="C3" i="8"/>
  <c r="C2" i="8"/>
  <c r="D2" i="8"/>
  <c r="E2" i="8"/>
  <c r="F2" i="8"/>
  <c r="G2" i="8"/>
  <c r="H2" i="8"/>
  <c r="I2" i="8"/>
  <c r="J2" i="8"/>
  <c r="B2" i="8"/>
  <c r="C1" i="8"/>
  <c r="D1" i="8"/>
  <c r="E1" i="8"/>
  <c r="F1" i="8"/>
  <c r="G1" i="8"/>
  <c r="H1" i="8"/>
  <c r="I1" i="8"/>
  <c r="J1" i="8"/>
  <c r="B1" i="8"/>
  <c r="AB9" i="1"/>
  <c r="AC9" i="1"/>
  <c r="AA9" i="1"/>
  <c r="AC10" i="1"/>
  <c r="AB10" i="1"/>
  <c r="AA10" i="1"/>
  <c r="AC4" i="1"/>
  <c r="AB4" i="1"/>
  <c r="AA4" i="1"/>
  <c r="S4" i="1"/>
  <c r="T4" i="1"/>
  <c r="U4" i="1"/>
  <c r="V4" i="1"/>
  <c r="R4" i="1"/>
  <c r="K28" i="2"/>
  <c r="J28" i="2"/>
  <c r="I28" i="2"/>
  <c r="H28" i="2"/>
  <c r="G28" i="2"/>
  <c r="H19" i="2"/>
  <c r="I19" i="2"/>
  <c r="J19" i="2"/>
  <c r="K19" i="2"/>
  <c r="G19" i="2"/>
  <c r="D17" i="7"/>
  <c r="C17" i="7"/>
  <c r="B17" i="7"/>
  <c r="AC64" i="1"/>
  <c r="AC63" i="1"/>
  <c r="AC62" i="1"/>
  <c r="AB64" i="1"/>
  <c r="AB63" i="1"/>
  <c r="AB62" i="1"/>
  <c r="AC78" i="1"/>
  <c r="AB78" i="1"/>
  <c r="C15" i="7"/>
  <c r="D15" i="7"/>
  <c r="B15" i="7"/>
  <c r="AA176" i="1"/>
  <c r="AA184" i="1"/>
  <c r="AA52" i="1"/>
  <c r="B6" i="7" s="1"/>
  <c r="B14" i="7" s="1"/>
  <c r="B16" i="7" s="1"/>
  <c r="B18" i="7" s="1"/>
  <c r="B20" i="7" s="1"/>
  <c r="B4" i="7"/>
  <c r="B3" i="7"/>
  <c r="AA26" i="1"/>
  <c r="B17" i="6"/>
  <c r="D13" i="5"/>
  <c r="E13" i="5"/>
  <c r="F13" i="5"/>
  <c r="G13" i="5"/>
  <c r="H13" i="5"/>
  <c r="I13" i="5"/>
  <c r="J13" i="5"/>
  <c r="K13" i="5"/>
  <c r="L13" i="5"/>
  <c r="M13" i="5"/>
  <c r="N13" i="5"/>
  <c r="C13" i="5"/>
  <c r="K12" i="5"/>
  <c r="D12" i="5"/>
  <c r="E12" i="5"/>
  <c r="F12" i="5"/>
  <c r="G12" i="5"/>
  <c r="H12" i="5"/>
  <c r="I12" i="5"/>
  <c r="J12" i="5"/>
  <c r="L12" i="5"/>
  <c r="M12" i="5"/>
  <c r="N12" i="5"/>
  <c r="C12" i="5"/>
  <c r="C42" i="2"/>
  <c r="C39" i="2"/>
  <c r="B6" i="6" s="1"/>
  <c r="C38" i="2"/>
  <c r="B5" i="6" s="1"/>
  <c r="H23" i="2"/>
  <c r="I23" i="2"/>
  <c r="J23" i="2"/>
  <c r="K23" i="2"/>
  <c r="G23" i="2"/>
  <c r="H15" i="2"/>
  <c r="I15" i="2"/>
  <c r="J15" i="2"/>
  <c r="K15" i="2"/>
  <c r="G15" i="2"/>
  <c r="D5" i="2"/>
  <c r="E5" i="2"/>
  <c r="F5" i="2"/>
  <c r="C5" i="2"/>
  <c r="D4" i="2"/>
  <c r="E4" i="2"/>
  <c r="F4" i="2"/>
  <c r="G4" i="2"/>
  <c r="H4" i="2"/>
  <c r="I4" i="2"/>
  <c r="J4" i="2"/>
  <c r="K4" i="2"/>
  <c r="C4" i="2"/>
  <c r="R170" i="1"/>
  <c r="S170" i="1" s="1"/>
  <c r="T170" i="1" s="1"/>
  <c r="U170" i="1" s="1"/>
  <c r="V170" i="1" s="1"/>
  <c r="R174" i="1"/>
  <c r="S174" i="1" s="1"/>
  <c r="T174" i="1" s="1"/>
  <c r="U174" i="1" s="1"/>
  <c r="V174" i="1" s="1"/>
  <c r="R173" i="1"/>
  <c r="S173" i="1" s="1"/>
  <c r="T173" i="1" s="1"/>
  <c r="U173" i="1" s="1"/>
  <c r="V173" i="1" s="1"/>
  <c r="R159" i="1"/>
  <c r="S159" i="1" s="1"/>
  <c r="T159" i="1" s="1"/>
  <c r="U159" i="1" s="1"/>
  <c r="V159" i="1" s="1"/>
  <c r="R158" i="1"/>
  <c r="R120" i="1"/>
  <c r="S120" i="1" s="1"/>
  <c r="T120" i="1" s="1"/>
  <c r="U120" i="1" s="1"/>
  <c r="V120" i="1" s="1"/>
  <c r="R122" i="1"/>
  <c r="S122" i="1" s="1"/>
  <c r="R106" i="1"/>
  <c r="S106" i="1" s="1"/>
  <c r="R101" i="1"/>
  <c r="S101" i="1" s="1"/>
  <c r="T101" i="1" s="1"/>
  <c r="U101" i="1" s="1"/>
  <c r="V101" i="1" s="1"/>
  <c r="R99" i="1"/>
  <c r="S99" i="1" s="1"/>
  <c r="T99" i="1" s="1"/>
  <c r="U99" i="1" s="1"/>
  <c r="V99" i="1" s="1"/>
  <c r="R98" i="1"/>
  <c r="R92" i="1"/>
  <c r="S92" i="1" s="1"/>
  <c r="T92" i="1" s="1"/>
  <c r="U92" i="1" s="1"/>
  <c r="V92" i="1" s="1"/>
  <c r="R91" i="1"/>
  <c r="S91" i="1" s="1"/>
  <c r="T91" i="1" s="1"/>
  <c r="U91" i="1" s="1"/>
  <c r="V91" i="1" s="1"/>
  <c r="R90" i="1"/>
  <c r="S90" i="1" s="1"/>
  <c r="T90" i="1" s="1"/>
  <c r="U90" i="1" s="1"/>
  <c r="V90" i="1" s="1"/>
  <c r="R89" i="1"/>
  <c r="S89" i="1" s="1"/>
  <c r="T89" i="1" s="1"/>
  <c r="U89" i="1" s="1"/>
  <c r="V89" i="1" s="1"/>
  <c r="R88" i="1"/>
  <c r="R84" i="1"/>
  <c r="S84" i="1" s="1"/>
  <c r="T84" i="1" s="1"/>
  <c r="U84" i="1" s="1"/>
  <c r="V84" i="1" s="1"/>
  <c r="R83" i="1"/>
  <c r="S83" i="1" s="1"/>
  <c r="T83" i="1" s="1"/>
  <c r="U83" i="1" s="1"/>
  <c r="V83" i="1" s="1"/>
  <c r="R81" i="1"/>
  <c r="S81" i="1" s="1"/>
  <c r="T81" i="1" s="1"/>
  <c r="U81" i="1" s="1"/>
  <c r="V81" i="1" s="1"/>
  <c r="R80" i="1"/>
  <c r="S80" i="1" s="1"/>
  <c r="T80" i="1" s="1"/>
  <c r="U80" i="1" s="1"/>
  <c r="V80" i="1" s="1"/>
  <c r="R79" i="1"/>
  <c r="R78" i="1"/>
  <c r="S78" i="1" s="1"/>
  <c r="T78" i="1" s="1"/>
  <c r="U78" i="1" s="1"/>
  <c r="V78" i="1" s="1"/>
  <c r="R34" i="1"/>
  <c r="R36" i="1"/>
  <c r="R35" i="1"/>
  <c r="S35" i="1" s="1"/>
  <c r="R20" i="1"/>
  <c r="S20" i="1" s="1"/>
  <c r="T20" i="1" s="1"/>
  <c r="U20" i="1" s="1"/>
  <c r="V20" i="1" s="1"/>
  <c r="R16" i="1"/>
  <c r="S16" i="1" s="1"/>
  <c r="T16" i="1" s="1"/>
  <c r="U16" i="1" s="1"/>
  <c r="V16" i="1" s="1"/>
  <c r="L13" i="1"/>
  <c r="L14" i="1" s="1"/>
  <c r="L52" i="1" s="1"/>
  <c r="M13" i="1"/>
  <c r="M14" i="1" s="1"/>
  <c r="M43" i="1" s="1"/>
  <c r="N13" i="1"/>
  <c r="N14" i="1" s="1"/>
  <c r="N43" i="1" s="1"/>
  <c r="O13" i="1"/>
  <c r="O14" i="1" s="1"/>
  <c r="O43" i="1" s="1"/>
  <c r="P13" i="1"/>
  <c r="P14" i="1" s="1"/>
  <c r="P44" i="1" s="1"/>
  <c r="Q13" i="1"/>
  <c r="Q14" i="1" s="1"/>
  <c r="Q43" i="1" s="1"/>
  <c r="K13" i="1"/>
  <c r="K14" i="1" s="1"/>
  <c r="K44" i="1" s="1"/>
  <c r="R132" i="1"/>
  <c r="M132" i="1"/>
  <c r="N132" i="1"/>
  <c r="O132" i="1"/>
  <c r="P132" i="1"/>
  <c r="Q132" i="1"/>
  <c r="L132" i="1"/>
  <c r="M131" i="1"/>
  <c r="N131" i="1"/>
  <c r="O131" i="1"/>
  <c r="P131" i="1"/>
  <c r="Q131" i="1"/>
  <c r="L131" i="1"/>
  <c r="M130" i="1"/>
  <c r="N130" i="1"/>
  <c r="O130" i="1"/>
  <c r="P130" i="1"/>
  <c r="Q130" i="1"/>
  <c r="L130" i="1"/>
  <c r="M129" i="1"/>
  <c r="N129" i="1"/>
  <c r="O129" i="1"/>
  <c r="P129" i="1"/>
  <c r="Q129" i="1"/>
  <c r="L129" i="1"/>
  <c r="M128" i="1"/>
  <c r="N128" i="1"/>
  <c r="O128" i="1"/>
  <c r="P128" i="1"/>
  <c r="Q128" i="1"/>
  <c r="L128" i="1"/>
  <c r="L47" i="1"/>
  <c r="M47" i="1"/>
  <c r="N47" i="1"/>
  <c r="O47" i="1"/>
  <c r="P47" i="1"/>
  <c r="Q47" i="1"/>
  <c r="K47" i="1"/>
  <c r="N45" i="1"/>
  <c r="M45" i="1"/>
  <c r="O45" i="1"/>
  <c r="P45" i="1"/>
  <c r="Q45" i="1"/>
  <c r="L45" i="1"/>
  <c r="L42" i="1"/>
  <c r="M42" i="1"/>
  <c r="N42" i="1"/>
  <c r="O42" i="1"/>
  <c r="P42" i="1"/>
  <c r="Q42" i="1"/>
  <c r="K42" i="1"/>
  <c r="M40" i="1"/>
  <c r="N40" i="1"/>
  <c r="O40" i="1"/>
  <c r="P40" i="1"/>
  <c r="Q40" i="1"/>
  <c r="L40" i="1"/>
  <c r="P185" i="1"/>
  <c r="Q185" i="1"/>
  <c r="P113" i="1"/>
  <c r="Q113" i="1"/>
  <c r="P103" i="1"/>
  <c r="P85" i="1"/>
  <c r="O113" i="1"/>
  <c r="N113" i="1"/>
  <c r="M93" i="1"/>
  <c r="N93" i="1"/>
  <c r="N94" i="1" s="1"/>
  <c r="L93" i="1"/>
  <c r="M185" i="1"/>
  <c r="N185" i="1"/>
  <c r="L176" i="1"/>
  <c r="L50" i="1" s="1"/>
  <c r="P176" i="1"/>
  <c r="P50" i="1" s="1"/>
  <c r="Q176" i="1"/>
  <c r="Q50" i="1" s="1"/>
  <c r="K185" i="1"/>
  <c r="M176" i="1"/>
  <c r="M50" i="1" s="1"/>
  <c r="N176" i="1"/>
  <c r="N50" i="1" s="1"/>
  <c r="O176" i="1"/>
  <c r="O50" i="1" s="1"/>
  <c r="K176" i="1"/>
  <c r="M113" i="1"/>
  <c r="M114" i="1" s="1"/>
  <c r="L113" i="1"/>
  <c r="L114" i="1" s="1"/>
  <c r="Q209" i="1"/>
  <c r="P209" i="1"/>
  <c r="O209" i="1"/>
  <c r="N209" i="1"/>
  <c r="M209" i="1"/>
  <c r="L209" i="1"/>
  <c r="O185" i="1"/>
  <c r="L185" i="1"/>
  <c r="Q123" i="1"/>
  <c r="P123" i="1"/>
  <c r="O123" i="1"/>
  <c r="N123" i="1"/>
  <c r="M123" i="1"/>
  <c r="L123" i="1"/>
  <c r="Q103" i="1"/>
  <c r="Q93" i="1"/>
  <c r="P93" i="1"/>
  <c r="O93" i="1"/>
  <c r="Q85" i="1"/>
  <c r="B9" i="7" l="1"/>
  <c r="B21" i="7"/>
  <c r="B10" i="7"/>
  <c r="B11" i="7"/>
  <c r="Q46" i="1"/>
  <c r="B7" i="7"/>
  <c r="R93" i="1"/>
  <c r="R123" i="1"/>
  <c r="P43" i="1"/>
  <c r="L43" i="1"/>
  <c r="E6" i="2"/>
  <c r="R165" i="1"/>
  <c r="D6" i="2"/>
  <c r="R129" i="1"/>
  <c r="G5" i="2"/>
  <c r="G6" i="2" s="1"/>
  <c r="G21" i="2"/>
  <c r="R169" i="1"/>
  <c r="R29" i="1"/>
  <c r="R113" i="1"/>
  <c r="B15" i="6"/>
  <c r="N46" i="1"/>
  <c r="R40" i="1"/>
  <c r="S98" i="1"/>
  <c r="T98" i="1" s="1"/>
  <c r="U98" i="1" s="1"/>
  <c r="V98" i="1" s="1"/>
  <c r="V103" i="1" s="1"/>
  <c r="R85" i="1"/>
  <c r="R94" i="1" s="1"/>
  <c r="R130" i="1"/>
  <c r="C40" i="2"/>
  <c r="B7" i="6"/>
  <c r="N44" i="1"/>
  <c r="N52" i="1"/>
  <c r="C8" i="2" s="1"/>
  <c r="C9" i="2" s="1"/>
  <c r="C11" i="2"/>
  <c r="C12" i="2" s="1"/>
  <c r="T106" i="1"/>
  <c r="U106" i="1" s="1"/>
  <c r="S113" i="1"/>
  <c r="M44" i="1"/>
  <c r="M52" i="1"/>
  <c r="S79" i="1"/>
  <c r="S85" i="1" s="1"/>
  <c r="S88" i="1"/>
  <c r="R128" i="1"/>
  <c r="S158" i="1"/>
  <c r="P52" i="1"/>
  <c r="E8" i="2" s="1"/>
  <c r="E9" i="2" s="1"/>
  <c r="S36" i="1"/>
  <c r="R28" i="1"/>
  <c r="R131" i="1"/>
  <c r="R168" i="1"/>
  <c r="O52" i="1"/>
  <c r="D8" i="2" s="1"/>
  <c r="D9" i="2" s="1"/>
  <c r="D11" i="2"/>
  <c r="D12" i="2" s="1"/>
  <c r="R10" i="1"/>
  <c r="S10" i="1" s="1"/>
  <c r="T10" i="1" s="1"/>
  <c r="U10" i="1" s="1"/>
  <c r="V10" i="1" s="1"/>
  <c r="E11" i="2"/>
  <c r="E12" i="2" s="1"/>
  <c r="F11" i="2"/>
  <c r="F12" i="2" s="1"/>
  <c r="L44" i="1"/>
  <c r="R27" i="1"/>
  <c r="R103" i="1"/>
  <c r="T35" i="1"/>
  <c r="S34" i="1"/>
  <c r="R5" i="1"/>
  <c r="Q52" i="1"/>
  <c r="F8" i="2" s="1"/>
  <c r="F6" i="2"/>
  <c r="S123" i="1"/>
  <c r="T122" i="1"/>
  <c r="Q44" i="1"/>
  <c r="O44" i="1"/>
  <c r="P46" i="1"/>
  <c r="M46" i="1"/>
  <c r="O46" i="1"/>
  <c r="L46" i="1"/>
  <c r="N114" i="1"/>
  <c r="N125" i="1" s="1"/>
  <c r="O94" i="1"/>
  <c r="O114" i="1"/>
  <c r="O125" i="1" s="1"/>
  <c r="P94" i="1"/>
  <c r="Q114" i="1"/>
  <c r="Q125" i="1" s="1"/>
  <c r="P114" i="1"/>
  <c r="P125" i="1" s="1"/>
  <c r="L125" i="1"/>
  <c r="M125" i="1"/>
  <c r="Q94" i="1"/>
  <c r="R114" i="1" l="1"/>
  <c r="R125" i="1" s="1"/>
  <c r="U103" i="1"/>
  <c r="S103" i="1"/>
  <c r="S114" i="1" s="1"/>
  <c r="S125" i="1" s="1"/>
  <c r="T103" i="1"/>
  <c r="B8" i="6"/>
  <c r="B9" i="6" s="1"/>
  <c r="F9" i="2"/>
  <c r="T36" i="1"/>
  <c r="S29" i="1"/>
  <c r="U35" i="1"/>
  <c r="T158" i="1"/>
  <c r="S130" i="1"/>
  <c r="H21" i="2"/>
  <c r="S131" i="1"/>
  <c r="R6" i="1"/>
  <c r="R171" i="1"/>
  <c r="R176" i="1" s="1"/>
  <c r="R50" i="1" s="1"/>
  <c r="V106" i="1"/>
  <c r="V113" i="1" s="1"/>
  <c r="V114" i="1" s="1"/>
  <c r="U113" i="1"/>
  <c r="U114" i="1" s="1"/>
  <c r="S168" i="1"/>
  <c r="S132" i="1"/>
  <c r="H5" i="2"/>
  <c r="H6" i="2" s="1"/>
  <c r="S5" i="1"/>
  <c r="S171" i="1" s="1"/>
  <c r="S165" i="1"/>
  <c r="T34" i="1"/>
  <c r="S40" i="1"/>
  <c r="S27" i="1"/>
  <c r="S129" i="1"/>
  <c r="T113" i="1"/>
  <c r="T114" i="1" s="1"/>
  <c r="T88" i="1"/>
  <c r="S93" i="1"/>
  <c r="S94" i="1" s="1"/>
  <c r="S169" i="1"/>
  <c r="T79" i="1"/>
  <c r="S128" i="1"/>
  <c r="S28" i="1"/>
  <c r="U122" i="1"/>
  <c r="T123" i="1"/>
  <c r="S6" i="1" l="1"/>
  <c r="T168" i="1"/>
  <c r="S42" i="1"/>
  <c r="S12" i="1"/>
  <c r="U34" i="1"/>
  <c r="T40" i="1"/>
  <c r="T27" i="1"/>
  <c r="I21" i="2"/>
  <c r="U158" i="1"/>
  <c r="T131" i="1"/>
  <c r="T130" i="1"/>
  <c r="R42" i="1"/>
  <c r="R12" i="1"/>
  <c r="S176" i="1"/>
  <c r="S50" i="1" s="1"/>
  <c r="U36" i="1"/>
  <c r="T29" i="1"/>
  <c r="T93" i="1"/>
  <c r="U88" i="1"/>
  <c r="U79" i="1"/>
  <c r="T128" i="1"/>
  <c r="T85" i="1"/>
  <c r="T165" i="1"/>
  <c r="U28" i="1"/>
  <c r="T5" i="1"/>
  <c r="T132" i="1"/>
  <c r="AC184" i="1"/>
  <c r="I5" i="2"/>
  <c r="I6" i="2" s="1"/>
  <c r="T169" i="1"/>
  <c r="T129" i="1"/>
  <c r="T28" i="1"/>
  <c r="V35" i="1"/>
  <c r="T125" i="1"/>
  <c r="V122" i="1"/>
  <c r="V123" i="1" s="1"/>
  <c r="V125" i="1" s="1"/>
  <c r="U123" i="1"/>
  <c r="AB52" i="1" l="1"/>
  <c r="C6" i="7" s="1"/>
  <c r="AB184" i="1"/>
  <c r="C14" i="7"/>
  <c r="C16" i="7" s="1"/>
  <c r="C18" i="7" s="1"/>
  <c r="C20" i="7" s="1"/>
  <c r="C3" i="7"/>
  <c r="AB79" i="1"/>
  <c r="AB158" i="1"/>
  <c r="AB98" i="1"/>
  <c r="AB159" i="1"/>
  <c r="C4" i="7"/>
  <c r="D3" i="7"/>
  <c r="AC79" i="1"/>
  <c r="AC158" i="1"/>
  <c r="AC52" i="1"/>
  <c r="D6" i="7" s="1"/>
  <c r="D4" i="7"/>
  <c r="AC159" i="1"/>
  <c r="AC98" i="1"/>
  <c r="T94" i="1"/>
  <c r="T171" i="1"/>
  <c r="T176" i="1" s="1"/>
  <c r="T50" i="1" s="1"/>
  <c r="AC5" i="1"/>
  <c r="AB5" i="1"/>
  <c r="AB6" i="1"/>
  <c r="U168" i="1"/>
  <c r="T6" i="1"/>
  <c r="V36" i="1"/>
  <c r="U29" i="1"/>
  <c r="AC6" i="1"/>
  <c r="V79" i="1"/>
  <c r="U128" i="1"/>
  <c r="U85" i="1"/>
  <c r="J21" i="2"/>
  <c r="V158" i="1"/>
  <c r="U130" i="1"/>
  <c r="U131" i="1"/>
  <c r="J5" i="2"/>
  <c r="J6" i="2" s="1"/>
  <c r="U165" i="1"/>
  <c r="U132" i="1"/>
  <c r="U5" i="1"/>
  <c r="U171" i="1" s="1"/>
  <c r="U129" i="1"/>
  <c r="U169" i="1"/>
  <c r="V34" i="1"/>
  <c r="U27" i="1"/>
  <c r="U40" i="1"/>
  <c r="U93" i="1"/>
  <c r="U94" i="1" s="1"/>
  <c r="V88" i="1"/>
  <c r="V93" i="1" s="1"/>
  <c r="U125" i="1"/>
  <c r="AC103" i="1" l="1"/>
  <c r="AC171" i="1"/>
  <c r="AC85" i="1"/>
  <c r="AC168" i="1"/>
  <c r="AB103" i="1"/>
  <c r="AB171" i="1"/>
  <c r="AB85" i="1"/>
  <c r="AB168" i="1"/>
  <c r="C21" i="7"/>
  <c r="C7" i="7"/>
  <c r="D14" i="7"/>
  <c r="D16" i="7" s="1"/>
  <c r="D18" i="7" s="1"/>
  <c r="D20" i="7" s="1"/>
  <c r="AB13" i="1"/>
  <c r="D7" i="7"/>
  <c r="AB35" i="1"/>
  <c r="AB36" i="1"/>
  <c r="AB34" i="1"/>
  <c r="AB40" i="1" s="1"/>
  <c r="AB14" i="1"/>
  <c r="AC36" i="1"/>
  <c r="AC34" i="1"/>
  <c r="AC35" i="1"/>
  <c r="V28" i="1"/>
  <c r="AC13" i="1"/>
  <c r="AC14" i="1" s="1"/>
  <c r="K21" i="2"/>
  <c r="V130" i="1"/>
  <c r="V131" i="1"/>
  <c r="V128" i="1"/>
  <c r="V85" i="1"/>
  <c r="U6" i="1"/>
  <c r="V168" i="1"/>
  <c r="T42" i="1"/>
  <c r="T12" i="1"/>
  <c r="U176" i="1"/>
  <c r="U50" i="1" s="1"/>
  <c r="K5" i="2"/>
  <c r="K6" i="2" s="1"/>
  <c r="V132" i="1"/>
  <c r="V165" i="1"/>
  <c r="V5" i="1"/>
  <c r="V171" i="1" s="1"/>
  <c r="V129" i="1"/>
  <c r="V169" i="1"/>
  <c r="V27" i="1"/>
  <c r="V40" i="1"/>
  <c r="V29" i="1"/>
  <c r="D21" i="7" l="1"/>
  <c r="B22" i="7"/>
  <c r="C22" i="7"/>
  <c r="AC21" i="1"/>
  <c r="AC24" i="1" s="1"/>
  <c r="AC26" i="1"/>
  <c r="AB21" i="1"/>
  <c r="AB24" i="1" s="1"/>
  <c r="AB26" i="1"/>
  <c r="AC40" i="1"/>
  <c r="V94" i="1"/>
  <c r="V176" i="1"/>
  <c r="V50" i="1" s="1"/>
  <c r="V6" i="1"/>
  <c r="V12" i="1" s="1"/>
  <c r="U12" i="1"/>
  <c r="U42" i="1"/>
  <c r="AB156" i="1" l="1"/>
  <c r="AB176" i="1" s="1"/>
  <c r="C9" i="7" s="1"/>
  <c r="AC156" i="1"/>
  <c r="AC176" i="1" s="1"/>
  <c r="D9" i="7" s="1"/>
  <c r="V42" i="1"/>
  <c r="D10" i="7" l="1"/>
  <c r="D11" i="7"/>
  <c r="C11" i="7"/>
  <c r="C10" i="7"/>
  <c r="S9" i="1"/>
  <c r="S13" i="1"/>
  <c r="S14" i="1"/>
  <c r="S52" i="1"/>
  <c r="H8" i="2"/>
  <c r="B12" i="6" s="1"/>
  <c r="B14" i="6" s="1"/>
  <c r="B16" i="6" s="1"/>
  <c r="B18" i="6" s="1"/>
  <c r="H9" i="2"/>
  <c r="S21" i="1" l="1"/>
  <c r="H11" i="2"/>
  <c r="S43" i="1"/>
  <c r="S44" i="1"/>
  <c r="H14" i="2" l="1"/>
  <c r="H17" i="2" s="1"/>
  <c r="H25" i="2" s="1"/>
  <c r="H27" i="2" s="1"/>
  <c r="H12" i="2"/>
  <c r="S23" i="1"/>
  <c r="S24" i="1"/>
  <c r="S156" i="1" l="1"/>
  <c r="S45" i="1"/>
  <c r="S46" i="1"/>
  <c r="V9" i="1"/>
  <c r="V13" i="1"/>
  <c r="V14" i="1"/>
  <c r="V52" i="1"/>
  <c r="K8" i="2"/>
  <c r="K9" i="2"/>
  <c r="U9" i="1"/>
  <c r="U13" i="1"/>
  <c r="U14" i="1"/>
  <c r="U52" i="1"/>
  <c r="J8" i="2"/>
  <c r="J9" i="2"/>
  <c r="T9" i="1"/>
  <c r="T13" i="1"/>
  <c r="T14" i="1"/>
  <c r="T52" i="1"/>
  <c r="I8" i="2"/>
  <c r="I9" i="2"/>
  <c r="I11" i="2" l="1"/>
  <c r="T21" i="1"/>
  <c r="T44" i="1"/>
  <c r="T43" i="1"/>
  <c r="J11" i="2"/>
  <c r="U21" i="1"/>
  <c r="U44" i="1"/>
  <c r="U43" i="1"/>
  <c r="K11" i="2"/>
  <c r="V21" i="1"/>
  <c r="V44" i="1"/>
  <c r="V43" i="1"/>
  <c r="V23" i="1" l="1"/>
  <c r="V24" i="1" s="1"/>
  <c r="K12" i="2"/>
  <c r="K14" i="2"/>
  <c r="K17" i="2" s="1"/>
  <c r="K25" i="2" s="1"/>
  <c r="U23" i="1"/>
  <c r="U24" i="1" s="1"/>
  <c r="J14" i="2"/>
  <c r="J17" i="2" s="1"/>
  <c r="J25" i="2" s="1"/>
  <c r="J12" i="2"/>
  <c r="T23" i="1"/>
  <c r="T24" i="1" s="1"/>
  <c r="I12" i="2"/>
  <c r="I14" i="2"/>
  <c r="I17" i="2" s="1"/>
  <c r="I25" i="2" s="1"/>
  <c r="C29" i="2" l="1"/>
  <c r="I27" i="2"/>
  <c r="T45" i="1"/>
  <c r="T46" i="1"/>
  <c r="T156" i="1"/>
  <c r="C30" i="2"/>
  <c r="J27" i="2"/>
  <c r="U156" i="1"/>
  <c r="U45" i="1"/>
  <c r="U46" i="1"/>
  <c r="C33" i="2"/>
  <c r="C34" i="2" s="1"/>
  <c r="K27" i="2"/>
  <c r="V46" i="1"/>
  <c r="V45" i="1"/>
  <c r="V156" i="1"/>
  <c r="E12" i="8"/>
  <c r="D12" i="8"/>
  <c r="C12" i="8"/>
  <c r="B12" i="8"/>
  <c r="F12" i="8"/>
  <c r="G12" i="2" l="1"/>
  <c r="G14" i="2"/>
  <c r="G18" i="8"/>
  <c r="G17" i="8"/>
  <c r="C37" i="2"/>
  <c r="B28" i="6"/>
  <c r="B27" i="6"/>
  <c r="B26" i="6"/>
  <c r="C44" i="2"/>
  <c r="R23" i="1"/>
  <c r="R44" i="1"/>
  <c r="R43" i="1"/>
  <c r="R156" i="1"/>
  <c r="R46" i="1"/>
  <c r="R21" i="1"/>
  <c r="R24" i="1"/>
  <c r="R45" i="1"/>
  <c r="G11" i="2"/>
  <c r="G17" i="2"/>
  <c r="G25" i="2"/>
  <c r="G27" i="2"/>
  <c r="C35" i="2"/>
  <c r="C36" i="2"/>
  <c r="C41" i="2"/>
  <c r="C43" i="2"/>
  <c r="B22" i="6"/>
  <c r="B23" i="6"/>
  <c r="B24" i="6"/>
  <c r="R47" i="1"/>
  <c r="R9" i="1"/>
  <c r="R13" i="1"/>
  <c r="R14" i="1"/>
  <c r="R52" i="1"/>
  <c r="G8" i="2"/>
  <c r="G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tc={F5538A52-F2B7-6944-8287-78F24BB635D3}</author>
    <author>tc={89A3C80D-ADC8-A543-A5F6-D25D15A6B2D7}</author>
    <author>tc={85E7F872-4502-6B49-8B79-4AB544110BCC}</author>
    <author>tc={B4187B4A-39F2-9D48-A06F-6F0F3F16B7E4}</author>
    <author>tc={CDEE238A-902D-2344-9AE6-E91BC4A66475}</author>
    <author>tc={8F105F78-7487-BD45-A2E9-4F44B1DA9E45}</author>
    <author>tc={3D0ABB60-9EB8-DD42-95FA-FE21736F9931}</author>
    <author>tc={7371F498-C867-EC44-968E-2429CF682E05}</author>
    <author>tc={5FC2774F-5DAF-E940-A6F5-88A2F5BF38DC}</author>
    <author>tc={CEF891B0-386D-5B47-A77C-EC5665C29A04}</author>
    <author>tc={F85ACE0A-7A74-974E-BDCA-820246735671}</author>
    <author>tc={72E4A411-9A14-1F4C-9783-7D7858715259}</author>
    <author>tc={712074E0-2FAE-1B49-A382-A3F64FBFE37F}</author>
    <author>tc={2F6F24D2-4726-6A4D-8A44-B877B063740A}</author>
    <author>tc={A2B1AA45-AE1A-234D-AFD1-2AD3E6A2595D}</author>
    <author>tc={DABE69B3-0D09-7645-9D79-E5F78AB580FA}</author>
    <author>tc={D223CDC4-4D0A-5E46-AE08-B330A26396E7}</author>
    <author>tc={BDBFCB3D-DE67-D24C-8375-02EE55A7B7B5}</author>
    <author>tc={9371F5F6-FF77-BD4E-AF4C-E974714F6871}</author>
    <author>tc={4668B781-D382-E74C-999A-926919B79875}</author>
    <author>tc={24CCBA60-F72B-5842-BDC6-E14D770A9017}</author>
    <author>tc={529E7CE6-29BD-E54A-8156-1B6282CA4BDA}</author>
    <author>tc={F878C106-33C8-E84D-A735-2625E5E9C7ED}</author>
    <author>tc={6EBE3C65-8373-D545-92C0-B8E4BF59FB87}</author>
    <author>tc={2029384D-87CD-1D49-87E4-B6E076B42ED1}</author>
    <author>tc={3FF22178-8ABC-E842-BDFD-FB9599188B8C}</author>
    <author>tc={53B83B78-0195-AE4B-B263-9876F79FCC60}</author>
    <author>tc={DF1D75BD-1BA1-D242-8453-47C394A20254}</author>
    <author>tc={9C62C8CE-90F9-964C-ABCC-68E83FC8B524}</author>
    <author>tc={A23C5554-0E65-EF47-BF58-C0437C66B5AD}</author>
    <author>tc={D95EF214-2DA0-364B-AC09-75ECD916FBCE}</author>
    <author>tc={1E9F85C8-2C00-4942-84ED-58584C295F65}</author>
    <author>tc={F1112B6E-C158-C940-BD15-4AC20CA1CD2C}</author>
    <author>tc={57F7078B-200C-A149-9414-5E3AB652B645}</author>
    <author>tc={43DAC0BF-A249-C648-8C2C-B9AE092C4C28}</author>
    <author>tc={71F04EAF-E883-D441-9AE3-01EDBCA8F1D9}</author>
    <author>tc={BE30A5E3-41CC-544A-8B04-641C89192B9E}</author>
    <author>tc={218051AB-5186-EE4E-A8F2-9D40AF65972D}</author>
  </authors>
  <commentList>
    <comment ref="W4" authorId="0" shapeId="0" xr:uid="{F5538A52-F2B7-6944-8287-78F24BB635D3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 Growth 6%</t>
      </text>
    </comment>
    <comment ref="W5" authorId="1" shapeId="0" xr:uid="{89A3C80D-ADC8-A543-A5F6-D25D15A6B2D7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 COGS 55% of revenue</t>
      </text>
    </comment>
    <comment ref="W9" authorId="2" shapeId="0" xr:uid="{85E7F872-4502-6B49-8B79-4AB544110BCC}">
      <text>
        <t>[Threaded comment]
Your version of Excel allows you to read this threaded comment; however, any edits to it will get removed if the file is opened in a newer version of Excel. Learn more: https://go.microsoft.com/fwlink/?linkid=870924
Comment:
    Locked R&amp;D at 19%</t>
      </text>
    </comment>
    <comment ref="W10" authorId="3" shapeId="0" xr:uid="{B4187B4A-39F2-9D48-A06F-6F0F3F16B7E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 SG&amp;A was between 9 and 10%</t>
      </text>
    </comment>
    <comment ref="W12" authorId="4" shapeId="0" xr:uid="{CDEE238A-902D-2344-9AE6-E91BC4A66475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 of other expense 5%</t>
      </text>
    </comment>
    <comment ref="W16" authorId="5" shapeId="0" xr:uid="{8F105F78-7487-BD45-A2E9-4F44B1DA9E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1% interest growth assumption
</t>
      </text>
    </comment>
    <comment ref="W20" authorId="6" shapeId="0" xr:uid="{3D0ABB60-9EB8-DD42-95FA-FE21736F9931}">
      <text>
        <t>[Threaded comment]
Your version of Excel allows you to read this threaded comment; however, any edits to it will get removed if the file is opened in a newer version of Excel. Learn more: https://go.microsoft.com/fwlink/?linkid=870924
Comment:
    Other expense income growth assumption 2%</t>
      </text>
    </comment>
    <comment ref="W23" authorId="7" shapeId="0" xr:uid="{7371F498-C867-EC44-968E-2429CF682E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22% tax assumption </t>
      </text>
    </comment>
    <comment ref="W34" authorId="8" shapeId="0" xr:uid="{5FC2774F-5DAF-E940-A6F5-88A2F5BF38DC}">
      <text>
        <t>[Threaded comment]
Your version of Excel allows you to read this threaded comment; however, any edits to it will get removed if the file is opened in a newer version of Excel. Learn more: https://go.microsoft.com/fwlink/?linkid=870924
Comment:
    3% product line growth assumption</t>
      </text>
    </comment>
    <comment ref="W35" authorId="9" shapeId="0" xr:uid="{CEF891B0-386D-5B47-A77C-EC5665C29A04}">
      <text>
        <t>[Threaded comment]
Your version of Excel allows you to read this threaded comment; however, any edits to it will get removed if the file is opened in a newer version of Excel. Learn more: https://go.microsoft.com/fwlink/?linkid=870924
Comment:
    2% product decrease assumption</t>
      </text>
    </comment>
    <comment ref="W36" authorId="10" shapeId="0" xr:uid="{F85ACE0A-7A74-974E-BDCA-820246735671}">
      <text>
        <t>[Threaded comment]
Your version of Excel allows you to read this threaded comment; however, any edits to it will get removed if the file is opened in a newer version of Excel. Learn more: https://go.microsoft.com/fwlink/?linkid=870924
Comment:
    7% product growth assumption</t>
      </text>
    </comment>
    <comment ref="W78" authorId="11" shapeId="0" xr:uid="{72E4A411-9A14-1F4C-9783-7D78587152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2% growth assumption
</t>
      </text>
    </comment>
    <comment ref="W79" authorId="12" shapeId="0" xr:uid="{712074E0-2FAE-1B49-A382-A3F64FBFE37F}">
      <text>
        <t>[Threaded comment]
Your version of Excel allows you to read this threaded comment; however, any edits to it will get removed if the file is opened in a newer version of Excel. Learn more: https://go.microsoft.com/fwlink/?linkid=870924
Comment:
    1% growth assumption</t>
      </text>
    </comment>
    <comment ref="W80" authorId="13" shapeId="0" xr:uid="{2F6F24D2-4726-6A4D-8A44-B877B063740A}">
      <text>
        <t>[Threaded comment]
Your version of Excel allows you to read this threaded comment; however, any edits to it will get removed if the file is opened in a newer version of Excel. Learn more: https://go.microsoft.com/fwlink/?linkid=870924
Comment:
    1% decrease assumption</t>
      </text>
    </comment>
    <comment ref="W81" authorId="14" shapeId="0" xr:uid="{A2B1AA45-AE1A-234D-AFD1-2AD3E6A2595D}">
      <text>
        <t>[Threaded comment]
Your version of Excel allows you to read this threaded comment; however, any edits to it will get removed if the file is opened in a newer version of Excel. Learn more: https://go.microsoft.com/fwlink/?linkid=870924
Comment:
    10% decrease assumption</t>
      </text>
    </comment>
    <comment ref="W83" authorId="15" shapeId="0" xr:uid="{DABE69B3-0D09-7645-9D79-E5F78AB580FA}">
      <text>
        <t>[Threaded comment]
Your version of Excel allows you to read this threaded comment; however, any edits to it will get removed if the file is opened in a newer version of Excel. Learn more: https://go.microsoft.com/fwlink/?linkid=870924
Comment:
    5% decrease assumption</t>
      </text>
    </comment>
    <comment ref="W84" authorId="16" shapeId="0" xr:uid="{D223CDC4-4D0A-5E46-AE08-B330A26396E7}">
      <text>
        <t>[Threaded comment]
Your version of Excel allows you to read this threaded comment; however, any edits to it will get removed if the file is opened in a newer version of Excel. Learn more: https://go.microsoft.com/fwlink/?linkid=870924
Comment:
    2.5% decrease assumption</t>
      </text>
    </comment>
    <comment ref="W88" authorId="17" shapeId="0" xr:uid="{BDBFCB3D-DE67-D24C-8375-02EE55A7B7B5}">
      <text>
        <t>[Threaded comment]
Your version of Excel allows you to read this threaded comment; however, any edits to it will get removed if the file is opened in a newer version of Excel. Learn more: https://go.microsoft.com/fwlink/?linkid=870924
Comment:
    10% decrease assumption</t>
      </text>
    </comment>
    <comment ref="W89" authorId="18" shapeId="0" xr:uid="{9371F5F6-FF77-BD4E-AF4C-E974714F6871}">
      <text>
        <t>[Threaded comment]
Your version of Excel allows you to read this threaded comment; however, any edits to it will get removed if the file is opened in a newer version of Excel. Learn more: https://go.microsoft.com/fwlink/?linkid=870924
Comment:
    3% decrease assumption</t>
      </text>
    </comment>
    <comment ref="W90" authorId="19" shapeId="0" xr:uid="{4668B781-D382-E74C-999A-926919B79875}">
      <text>
        <t>[Threaded comment]
Your version of Excel allows you to read this threaded comment; however, any edits to it will get removed if the file is opened in a newer version of Excel. Learn more: https://go.microsoft.com/fwlink/?linkid=870924
Comment:
    5% decrease assumption</t>
      </text>
    </comment>
    <comment ref="W91" authorId="20" shapeId="0" xr:uid="{24CCBA60-F72B-5842-BDC6-E14D770A9017}">
      <text>
        <t>[Threaded comment]
Your version of Excel allows you to read this threaded comment; however, any edits to it will get removed if the file is opened in a newer version of Excel. Learn more: https://go.microsoft.com/fwlink/?linkid=870924
Comment:
    1% growth assumption</t>
      </text>
    </comment>
    <comment ref="W92" authorId="21" shapeId="0" xr:uid="{529E7CE6-29BD-E54A-8156-1B6282CA4BDA}">
      <text>
        <t>[Threaded comment]
Your version of Excel allows you to read this threaded comment; however, any edits to it will get removed if the file is opened in a newer version of Excel. Learn more: https://go.microsoft.com/fwlink/?linkid=870924
Comment:
    4% growth assumption</t>
      </text>
    </comment>
    <comment ref="W98" authorId="22" shapeId="0" xr:uid="{F878C106-33C8-E84D-A735-2625E5E9C7ED}">
      <text>
        <t>[Threaded comment]
Your version of Excel allows you to read this threaded comment; however, any edits to it will get removed if the file is opened in a newer version of Excel. Learn more: https://go.microsoft.com/fwlink/?linkid=870924
Comment:
    2% decrease assumption</t>
      </text>
    </comment>
    <comment ref="W99" authorId="23" shapeId="0" xr:uid="{6EBE3C65-8373-D545-92C0-B8E4BF59FB87}">
      <text>
        <t>[Threaded comment]
Your version of Excel allows you to read this threaded comment; however, any edits to it will get removed if the file is opened in a newer version of Excel. Learn more: https://go.microsoft.com/fwlink/?linkid=870924
Comment:
    1% decrease assumption</t>
      </text>
    </comment>
    <comment ref="W101" authorId="24" shapeId="0" xr:uid="{2029384D-87CD-1D49-87E4-B6E076B42ED1}">
      <text>
        <t>[Threaded comment]
Your version of Excel allows you to read this threaded comment; however, any edits to it will get removed if the file is opened in a newer version of Excel. Learn more: https://go.microsoft.com/fwlink/?linkid=870924
Comment:
    2% decrease assumption</t>
      </text>
    </comment>
    <comment ref="W106" authorId="25" shapeId="0" xr:uid="{3FF22178-8ABC-E842-BDFD-FB9599188B8C}">
      <text>
        <t>[Threaded comment]
Your version of Excel allows you to read this threaded comment; however, any edits to it will get removed if the file is opened in a newer version of Excel. Learn more: https://go.microsoft.com/fwlink/?linkid=870924
Comment:
    1% growth assumption</t>
      </text>
    </comment>
    <comment ref="W120" authorId="26" shapeId="0" xr:uid="{53B83B78-0195-AE4B-B263-9876F79FCC60}">
      <text>
        <t>[Threaded comment]
Your version of Excel allows you to read this threaded comment; however, any edits to it will get removed if the file is opened in a newer version of Excel. Learn more: https://go.microsoft.com/fwlink/?linkid=870924
Comment:
    6% decrease assumption</t>
      </text>
    </comment>
    <comment ref="W121" authorId="27" shapeId="0" xr:uid="{DF1D75BD-1BA1-D242-8453-47C394A20254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the difference to equal Assets</t>
      </text>
    </comment>
    <comment ref="W122" authorId="28" shapeId="0" xr:uid="{9C62C8CE-90F9-964C-ABCC-68E83FC8B52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6% growth</t>
      </text>
    </comment>
    <comment ref="W158" authorId="29" shapeId="0" xr:uid="{A23C5554-0E65-EF47-BF58-C0437C66B5AD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3% decrease</t>
      </text>
    </comment>
    <comment ref="W159" authorId="30" shapeId="0" xr:uid="{D95EF214-2DA0-364B-AC09-75ECD916FBCE}">
      <text>
        <t>[Threaded comment]
Your version of Excel allows you to read this threaded comment; however, any edits to it will get removed if the file is opened in a newer version of Excel. Learn more: https://go.microsoft.com/fwlink/?linkid=870924
Comment:
    1% decrease assumption</t>
      </text>
    </comment>
    <comment ref="W165" authorId="31" shapeId="0" xr:uid="{1E9F85C8-2C00-4942-84ED-58584C295F65}">
      <text>
        <t>[Threaded comment]
Your version of Excel allows you to read this threaded comment; however, any edits to it will get removed if the file is opened in a newer version of Excel. Learn more: https://go.microsoft.com/fwlink/?linkid=870924
Comment:
    Qorvo had a consistent 3.7% of revenue</t>
      </text>
    </comment>
    <comment ref="W168" authorId="32" shapeId="0" xr:uid="{F1112B6E-C158-C940-BD15-4AC20CA1CD2C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 using Qorvo DSO 35</t>
      </text>
    </comment>
    <comment ref="W169" authorId="33" shapeId="0" xr:uid="{57F7078B-200C-A149-9414-5E3AB652B645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 using Qorvo DIO</t>
      </text>
    </comment>
    <comment ref="W170" authorId="34" shapeId="0" xr:uid="{43DAC0BF-A249-C648-8C2C-B9AE092C4C28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 using 3% growth</t>
      </text>
    </comment>
    <comment ref="W172" authorId="35" shapeId="0" xr:uid="{71F04EAF-E883-D441-9AE3-01EDBCA8F1D9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constant</t>
      </text>
    </comment>
    <comment ref="W173" authorId="36" shapeId="0" xr:uid="{BE30A5E3-41CC-544A-8B04-641C89192B9E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7% decrease</t>
      </text>
    </comment>
    <comment ref="W174" authorId="37" shapeId="0" xr:uid="{218051AB-5186-EE4E-A8F2-9D40AF65972D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3% growth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tc={C240009B-07E9-5145-BB8E-C88F4682FA1D}</author>
  </authors>
  <commentList>
    <comment ref="C31" authorId="0" shapeId="0" xr:uid="{C240009B-07E9-5145-BB8E-C88F4682FA1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Took the average of the three numbers I found
</t>
      </text>
    </comment>
  </commentList>
</comments>
</file>

<file path=xl/sharedStrings.xml><?xml version="1.0" encoding="utf-8"?>
<sst xmlns="http://schemas.openxmlformats.org/spreadsheetml/2006/main" count="331" uniqueCount="256">
  <si>
    <t>FY2009</t>
  </si>
  <si>
    <t>FY2010</t>
  </si>
  <si>
    <t>FY2011</t>
  </si>
  <si>
    <t>FY2012</t>
  </si>
  <si>
    <t>FY2013</t>
  </si>
  <si>
    <t>FY2014</t>
  </si>
  <si>
    <t>FY2015</t>
  </si>
  <si>
    <t>FY2016</t>
  </si>
  <si>
    <t>2028 BASE</t>
  </si>
  <si>
    <t>2028 BULL</t>
  </si>
  <si>
    <t>2028 BEAR</t>
  </si>
  <si>
    <t>Income Statement</t>
  </si>
  <si>
    <t>Revenue</t>
  </si>
  <si>
    <t>Cost of goods sold</t>
  </si>
  <si>
    <t>Gross profit</t>
  </si>
  <si>
    <t>Operating expenses:</t>
  </si>
  <si>
    <t>Research and development</t>
  </si>
  <si>
    <t>Selling, general and administrative</t>
  </si>
  <si>
    <t>Other operating expense</t>
  </si>
  <si>
    <t xml:space="preserve">103,991	</t>
  </si>
  <si>
    <t>Total operating expenses</t>
  </si>
  <si>
    <t>Operating income</t>
  </si>
  <si>
    <t>Interest expense</t>
  </si>
  <si>
    <t>Other (expense) income, net</t>
  </si>
  <si>
    <t>Income before income taxes</t>
  </si>
  <si>
    <t xml:space="preserve">1,181,084	</t>
  </si>
  <si>
    <t>Income tax (expense) benefit</t>
  </si>
  <si>
    <t xml:space="preserve">(147,731)	</t>
  </si>
  <si>
    <t>Net income</t>
  </si>
  <si>
    <t>/</t>
  </si>
  <si>
    <t xml:space="preserve"> 1033353 	</t>
  </si>
  <si>
    <t>Operating Income as % of Revenue</t>
  </si>
  <si>
    <t>High Performance Analog Line</t>
  </si>
  <si>
    <t>Connectivity and Sensors line</t>
  </si>
  <si>
    <t>Advanced Cellular Group Line</t>
  </si>
  <si>
    <t>Mobile Products</t>
  </si>
  <si>
    <t>Infrastructure &amp; Defense</t>
  </si>
  <si>
    <t>Gross Profit From Product Line</t>
  </si>
  <si>
    <t>Total Product Line Revenues</t>
  </si>
  <si>
    <t>Gross Margin</t>
  </si>
  <si>
    <t>EBITDA Margin</t>
  </si>
  <si>
    <t>Operating Margin</t>
  </si>
  <si>
    <t>Net Profit Margin</t>
  </si>
  <si>
    <t>ROE</t>
  </si>
  <si>
    <t>R&amp;D Intensity</t>
  </si>
  <si>
    <t>SG&amp;A Margin</t>
  </si>
  <si>
    <t>Free Cash Flow Margin</t>
  </si>
  <si>
    <t>EBITDA</t>
  </si>
  <si>
    <t>Effective Tax Rate</t>
  </si>
  <si>
    <t>Earnings Per Share - WAB</t>
  </si>
  <si>
    <t>Earnings Per Share - WAD</t>
  </si>
  <si>
    <t>Adjusted Earnings Per Share - WAD</t>
  </si>
  <si>
    <t>Shares Outstanding - WAB</t>
  </si>
  <si>
    <t>Shares Outstanding - WAD</t>
  </si>
  <si>
    <t>97,557 </t>
  </si>
  <si>
    <t>Adjusted Shares Outstanding - WAD</t>
  </si>
  <si>
    <t>93,800 </t>
  </si>
  <si>
    <t>Balance Sheet</t>
  </si>
  <si>
    <t>Current Assets</t>
  </si>
  <si>
    <t>Cash and cash equivalents</t>
  </si>
  <si>
    <t>Accounts receivable, net of allowance of $331 and $55 as of April 3, 2021 and March 28, 2020, respectively</t>
  </si>
  <si>
    <t>Inventories</t>
  </si>
  <si>
    <t>Prepaid expenses</t>
  </si>
  <si>
    <t>Assets of disposal group held for sale</t>
  </si>
  <si>
    <t>Other receivables</t>
  </si>
  <si>
    <t>Other current assets</t>
  </si>
  <si>
    <t>Total Current Assets</t>
  </si>
  <si>
    <t>Non-Current Assets</t>
  </si>
  <si>
    <t>Property and equipment, net</t>
  </si>
  <si>
    <t>Goodwill</t>
  </si>
  <si>
    <t>Intangible assets, net</t>
  </si>
  <si>
    <t>Long-term investments</t>
  </si>
  <si>
    <t>Other non-current assets</t>
  </si>
  <si>
    <t>Total Non-Current Assets</t>
  </si>
  <si>
    <t>Total Assets</t>
  </si>
  <si>
    <t>Current Liabilities</t>
  </si>
  <si>
    <t>Current liabilities:</t>
  </si>
  <si>
    <t>Accounts payable</t>
  </si>
  <si>
    <t>Accrued liabilities</t>
  </si>
  <si>
    <t>Current portion of long-term debt</t>
  </si>
  <si>
    <t>N/A</t>
  </si>
  <si>
    <t>—</t>
  </si>
  <si>
    <t>Other current liabilities</t>
  </si>
  <si>
    <t>Total Current Liabilities</t>
  </si>
  <si>
    <t>Long-term debt</t>
  </si>
  <si>
    <t>Other long-term liabilities</t>
  </si>
  <si>
    <t>Total Non-Current liabilities</t>
  </si>
  <si>
    <t>Total Liabilities</t>
  </si>
  <si>
    <t>Shareholders' Equity</t>
  </si>
  <si>
    <t>Commitments and contingent liabilities</t>
  </si>
  <si>
    <t>Stockholders’ equity:</t>
  </si>
  <si>
    <t>Preferred stock, $.0001 par value; 5,000 shares authorized; no shares issued and outstanding</t>
  </si>
  <si>
    <t>Common stock and additional paid-in capital, $.0001 par value; 405,000 shares authorized; 112,557 and 114,625 shares issued and outstanding at April 3, 2021 and March 28, 2020, respectively</t>
  </si>
  <si>
    <t>Accumulated other comprehensive income</t>
  </si>
  <si>
    <t>Retained earnings</t>
  </si>
  <si>
    <t>Total SE</t>
  </si>
  <si>
    <t>Total Liabilities &amp; SE</t>
  </si>
  <si>
    <t>Receivables as % of Revenue</t>
  </si>
  <si>
    <t>Payables as % of Revenue</t>
  </si>
  <si>
    <t>Depreciation as % of Revenue</t>
  </si>
  <si>
    <t>Amortization as % of Revenue</t>
  </si>
  <si>
    <t>Capex as % of Revenue</t>
  </si>
  <si>
    <t>Cash Flow Statement</t>
  </si>
  <si>
    <t>CFO</t>
  </si>
  <si>
    <t>Adjustments to reconcile net income to net cash provided by operating activities:</t>
  </si>
  <si>
    <t>Depreciation</t>
  </si>
  <si>
    <t>Intangible assets amortization</t>
  </si>
  <si>
    <t>Loss on debt extinguishment</t>
  </si>
  <si>
    <t>Deferred income taxes</t>
  </si>
  <si>
    <t>Gain on Cavendish investment</t>
  </si>
  <si>
    <t>Impairment of equity investment</t>
  </si>
  <si>
    <t>Asset impairment</t>
  </si>
  <si>
    <t>Stock-based compensation expense</t>
  </si>
  <si>
    <t>Other, net</t>
  </si>
  <si>
    <t>Changes in operating assets and liabilities:</t>
  </si>
  <si>
    <t>Accounts receivable, net</t>
  </si>
  <si>
    <t>Prepaid expenses and other assets</t>
  </si>
  <si>
    <t>Income taxes payable and receivable</t>
  </si>
  <si>
    <t>Other liabilities</t>
  </si>
  <si>
    <t>Net cash provided by operating activities</t>
  </si>
  <si>
    <t>Net CFO</t>
  </si>
  <si>
    <t>CFI</t>
  </si>
  <si>
    <t>Purchases of property and equipment</t>
  </si>
  <si>
    <t>Purchases of available-for-sale debt securities</t>
  </si>
  <si>
    <t>Proceeds from sales and maturities of available-for-sale debt securities</t>
  </si>
  <si>
    <t>Purchases of businesses, net of cash acquired</t>
  </si>
  <si>
    <t>Other investing activities</t>
  </si>
  <si>
    <t xml:space="preserve">Capex </t>
  </si>
  <si>
    <t>Net CFI</t>
  </si>
  <si>
    <t>CFF</t>
  </si>
  <si>
    <t>Repurchase and payment of debt</t>
  </si>
  <si>
    <t>Proceeds from borrowings and debt issuances</t>
  </si>
  <si>
    <t>Repurchase of common stock, including transaction costs</t>
  </si>
  <si>
    <t>Proceeds from the issuance of common stock</t>
  </si>
  <si>
    <t>Tax withholding paid on behalf of employees for restricted stock units</t>
  </si>
  <si>
    <t>Other financing activities</t>
  </si>
  <si>
    <t>Net CFF</t>
  </si>
  <si>
    <r>
      <rPr>
        <b/>
        <sz val="14"/>
        <color theme="1"/>
        <rFont val="Lato"/>
      </rPr>
      <t xml:space="preserve">Discounted Cash Flow Analysis
</t>
    </r>
    <r>
      <rPr>
        <i/>
        <sz val="11"/>
        <color theme="1"/>
        <rFont val="Lato"/>
      </rPr>
      <t xml:space="preserve"> (Note: Select the entire sheet using Ctrl + A and paste it into your financial model.)</t>
    </r>
  </si>
  <si>
    <t>Date</t>
  </si>
  <si>
    <t>Year</t>
  </si>
  <si>
    <t>Growth</t>
  </si>
  <si>
    <t>Adj. EBITDA</t>
  </si>
  <si>
    <t>Margin</t>
  </si>
  <si>
    <t>EBIT</t>
  </si>
  <si>
    <t>Tax</t>
  </si>
  <si>
    <t>Tax rate</t>
  </si>
  <si>
    <t>NOPAT</t>
  </si>
  <si>
    <t>NWC</t>
  </si>
  <si>
    <t>D&amp;A</t>
  </si>
  <si>
    <t>Capex</t>
  </si>
  <si>
    <t>Unlevered FCF</t>
  </si>
  <si>
    <t>Present Value of Unlevered FCF</t>
  </si>
  <si>
    <t>Discount factor</t>
  </si>
  <si>
    <t>2027 FCF</t>
  </si>
  <si>
    <t>2028 FCF</t>
  </si>
  <si>
    <t>WACC</t>
  </si>
  <si>
    <t>Long term growth rate (g)</t>
  </si>
  <si>
    <t xml:space="preserve">Terminal Value </t>
  </si>
  <si>
    <t>Present Value of Terminal Value</t>
  </si>
  <si>
    <t>Present Value of Forecast Period CFs</t>
  </si>
  <si>
    <t xml:space="preserve">Enterprise value </t>
  </si>
  <si>
    <t>Implied TV exit EBITDA multiple</t>
  </si>
  <si>
    <t>Cash</t>
  </si>
  <si>
    <t>Total Debt</t>
  </si>
  <si>
    <t>Net debt</t>
  </si>
  <si>
    <t>Equity Value</t>
  </si>
  <si>
    <t>Shares Outstanding</t>
  </si>
  <si>
    <t>Price per share</t>
  </si>
  <si>
    <t>Upside/Downside</t>
  </si>
  <si>
    <t>Comparable Analysis</t>
  </si>
  <si>
    <t>USD</t>
  </si>
  <si>
    <t>1Yr</t>
  </si>
  <si>
    <t>EV /</t>
  </si>
  <si>
    <t>Last</t>
  </si>
  <si>
    <t>Market</t>
  </si>
  <si>
    <t>% Chg</t>
  </si>
  <si>
    <t>Sales</t>
  </si>
  <si>
    <t>P/E</t>
  </si>
  <si>
    <t>Dvd</t>
  </si>
  <si>
    <t>Ticker</t>
  </si>
  <si>
    <t>Name</t>
  </si>
  <si>
    <t>Price</t>
  </si>
  <si>
    <t>Cap</t>
  </si>
  <si>
    <t>EV</t>
  </si>
  <si>
    <t>YTD</t>
  </si>
  <si>
    <t>GR</t>
  </si>
  <si>
    <t>Crnt Yr</t>
  </si>
  <si>
    <t>NY</t>
  </si>
  <si>
    <t>T12M</t>
  </si>
  <si>
    <t>Yield</t>
  </si>
  <si>
    <t>AVGO</t>
  </si>
  <si>
    <t>Broadcom Inc</t>
  </si>
  <si>
    <t>QCOM</t>
  </si>
  <si>
    <t>Qualcomm Inc</t>
  </si>
  <si>
    <t>ADI</t>
  </si>
  <si>
    <t>Analog Devices Inc</t>
  </si>
  <si>
    <t>MRAAY</t>
  </si>
  <si>
    <t>Murata Manufacturing Co</t>
  </si>
  <si>
    <t>COMP AVG</t>
  </si>
  <si>
    <t>COMP MEDIAN</t>
  </si>
  <si>
    <t>QRVO</t>
  </si>
  <si>
    <t>Qorvo Inc</t>
  </si>
  <si>
    <t>13.22x</t>
  </si>
  <si>
    <t>16.3x</t>
  </si>
  <si>
    <t>15.8x</t>
  </si>
  <si>
    <t>Precedent Transaction Analysis</t>
  </si>
  <si>
    <t>Seller</t>
  </si>
  <si>
    <t>Acquirer</t>
  </si>
  <si>
    <t>Terms</t>
  </si>
  <si>
    <t>Multiple</t>
  </si>
  <si>
    <t>Vmware</t>
  </si>
  <si>
    <t>Broadcomm</t>
  </si>
  <si>
    <t>$84.2b</t>
  </si>
  <si>
    <t>~14x</t>
  </si>
  <si>
    <t>Qorvo</t>
  </si>
  <si>
    <t>Skyworks</t>
  </si>
  <si>
    <t>$22b</t>
  </si>
  <si>
    <t>10.5x</t>
  </si>
  <si>
    <t>Qorvo Inc. (NYSE: QRVO)</t>
  </si>
  <si>
    <t>Share Price (as of 5/24/26)</t>
  </si>
  <si>
    <t>Shares Out.</t>
  </si>
  <si>
    <t>88.01M</t>
  </si>
  <si>
    <t>Market Cap</t>
  </si>
  <si>
    <t>Debt</t>
  </si>
  <si>
    <t>TEV</t>
  </si>
  <si>
    <t>FY24 EBITDA</t>
  </si>
  <si>
    <t>EV / FY24 EBITDA</t>
  </si>
  <si>
    <t>Base Case Valuation Summary:</t>
  </si>
  <si>
    <t>FY27 EBITDA:</t>
  </si>
  <si>
    <t>Target Multiple</t>
  </si>
  <si>
    <t>Net Debt</t>
  </si>
  <si>
    <t>3-Year Price Target</t>
  </si>
  <si>
    <t>Total Return:</t>
  </si>
  <si>
    <t>IRR</t>
  </si>
  <si>
    <t>DCF Valuation</t>
  </si>
  <si>
    <t>Blended PT:</t>
  </si>
  <si>
    <t>Base</t>
  </si>
  <si>
    <t>Bull</t>
  </si>
  <si>
    <t>Bear</t>
  </si>
  <si>
    <t>FY2027</t>
  </si>
  <si>
    <t>3yr Growth</t>
  </si>
  <si>
    <t>FCF</t>
  </si>
  <si>
    <t>Conversion</t>
  </si>
  <si>
    <t>EBITDA Multiple</t>
  </si>
  <si>
    <t>Sh. Out.</t>
  </si>
  <si>
    <t>Price Target</t>
  </si>
  <si>
    <t>Risk/Reward vs Bear Case</t>
  </si>
  <si>
    <t>Gross Profit</t>
  </si>
  <si>
    <t>SG&amp;A</t>
  </si>
  <si>
    <t>Operating Income</t>
  </si>
  <si>
    <t>Interest Expense</t>
  </si>
  <si>
    <t>EBT</t>
  </si>
  <si>
    <t>Net Income</t>
  </si>
  <si>
    <t>EPS</t>
  </si>
  <si>
    <t>Net Leverage</t>
  </si>
  <si>
    <t>Share Price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</si>
</sst>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&quot;Real-Time Stock Price :   &quot;@_)"/>
    <numFmt numFmtId="165" formatCode="_(* #,##0.0_);_(* \(#,##0.0\);_(* &quot;-&quot;??_);_(&quot;Model Sheet Currency :   &quot;@_)"/>
    <numFmt numFmtId="166" formatCode="_(* #,##0_);_(* \(#,##0\);_(* &quot;-&quot;??_);_(@_)"/>
    <numFmt numFmtId="167" formatCode="_(* #,##0.0_);_(* \(#,##0.0\);_(* &quot;-&quot;??_);_(@_)"/>
    <numFmt numFmtId="168" formatCode="_(&quot;$&quot;* 0.00_);_(&quot;$&quot;* \(0.00\);_(&quot;$&quot;* &quot;-&quot;??_);_(@_)"/>
    <numFmt numFmtId="169" formatCode="0\A"/>
    <numFmt numFmtId="170" formatCode="&quot;$&quot;#,##0"/>
    <numFmt numFmtId="171" formatCode="0.0%"/>
    <numFmt numFmtId="172" formatCode="0.0"/>
    <numFmt numFmtId="173" formatCode="0.0\x_);\(0.0\x\);@_)"/>
    <numFmt numFmtId="174" formatCode="0.000"/>
    <numFmt numFmtId="175" formatCode="&quot;$&quot;#,##0.00"/>
  </numFmts>
  <fonts count="38" x14ac:knownFonts="1">
    <font>
      <sz val="11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i/>
      <sz val="10"/>
      <color rgb="FF0000FC"/>
      <name val="Arial"/>
      <family val="2"/>
    </font>
    <font>
      <b/>
      <i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0000FC"/>
      <name val="Arial"/>
      <family val="2"/>
    </font>
    <font>
      <sz val="10"/>
      <color rgb="FF000000"/>
      <name val="Arial"/>
      <family val="2"/>
    </font>
    <font>
      <sz val="10"/>
      <color rgb="FF0000FC"/>
      <name val="Arial"/>
      <family val="2"/>
    </font>
    <font>
      <sz val="11"/>
      <color theme="1"/>
      <name val="Aptos Narrow"/>
      <scheme val="minor"/>
    </font>
    <font>
      <b/>
      <sz val="11"/>
      <color indexed="8"/>
      <name val="Calibri"/>
      <family val="2"/>
      <charset val="1"/>
    </font>
    <font>
      <b/>
      <sz val="14"/>
      <color theme="1"/>
      <name val="Lato"/>
    </font>
    <font>
      <i/>
      <sz val="11"/>
      <color theme="1"/>
      <name val="Lato"/>
    </font>
    <font>
      <sz val="10"/>
      <name val="Arial"/>
      <family val="2"/>
    </font>
    <font>
      <sz val="11"/>
      <color theme="1"/>
      <name val="Lato"/>
    </font>
    <font>
      <i/>
      <sz val="9"/>
      <color theme="1"/>
      <name val="Lato"/>
    </font>
    <font>
      <i/>
      <sz val="10"/>
      <color theme="1"/>
      <name val="Lato"/>
    </font>
    <font>
      <sz val="11"/>
      <color rgb="FF0000FC"/>
      <name val="Lato"/>
    </font>
    <font>
      <sz val="11"/>
      <color rgb="FF0000FF"/>
      <name val="Lato"/>
    </font>
    <font>
      <b/>
      <sz val="11"/>
      <color theme="1"/>
      <name val="Lato"/>
    </font>
    <font>
      <b/>
      <u/>
      <sz val="11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rgb="FF0000FC"/>
      <name val="Aptos Narrow"/>
      <scheme val="minor"/>
    </font>
    <font>
      <sz val="11"/>
      <color rgb="FF0000FC"/>
      <name val="Aptos Narrow"/>
      <scheme val="minor"/>
    </font>
    <font>
      <b/>
      <i/>
      <sz val="10"/>
      <color theme="1"/>
      <name val="Arial"/>
      <family val="2"/>
    </font>
    <font>
      <sz val="11"/>
      <color theme="1"/>
      <name val="Aptos Narrow"/>
    </font>
    <font>
      <i/>
      <sz val="10"/>
      <color theme="1"/>
      <name val="Aptos Narrow"/>
    </font>
    <font>
      <b/>
      <sz val="11"/>
      <color theme="1"/>
      <name val="Aptos Narrow"/>
    </font>
    <font>
      <sz val="10"/>
      <color theme="1"/>
      <name val="Arial"/>
      <family val="2"/>
    </font>
    <font>
      <sz val="9"/>
      <color theme="1"/>
      <name val="Aptos Narrow"/>
    </font>
    <font>
      <i/>
      <sz val="9"/>
      <color theme="1"/>
      <name val="Aptos Narrow"/>
    </font>
    <font>
      <sz val="10"/>
      <color theme="4"/>
      <name val="Arial"/>
      <family val="2"/>
    </font>
    <font>
      <sz val="14"/>
      <color theme="1"/>
      <name val="Arial"/>
      <family val="2"/>
    </font>
    <font>
      <sz val="12"/>
      <color theme="2" tint="-4.9989318521683403E-2"/>
      <name val="Arial"/>
      <family val="2"/>
    </font>
    <font>
      <sz val="11"/>
      <color theme="2" tint="-4.9989318521683403E-2"/>
      <name val="Aptos Narrow"/>
      <scheme val="minor"/>
    </font>
    <font>
      <sz val="10"/>
      <color rgb="FF0070C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9F2D0"/>
        <bgColor rgb="FFD9F2D0"/>
      </patternFill>
    </fill>
    <fill>
      <patternFill patternType="solid">
        <fgColor rgb="FFCAEDFB"/>
        <bgColor rgb="FFCAEDFB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" fillId="8" borderId="0" applyNumberFormat="0" applyBorder="0" applyAlignment="0" applyProtection="0"/>
  </cellStyleXfs>
  <cellXfs count="176">
    <xf numFmtId="0" fontId="0" fillId="0" borderId="0" xfId="0"/>
    <xf numFmtId="164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17" fontId="3" fillId="3" borderId="1" xfId="0" applyNumberFormat="1" applyFont="1" applyFill="1" applyBorder="1" applyAlignment="1">
      <alignment horizontal="center"/>
    </xf>
    <xf numFmtId="17" fontId="4" fillId="3" borderId="1" xfId="0" applyNumberFormat="1" applyFont="1" applyFill="1" applyBorder="1" applyAlignment="1">
      <alignment horizontal="center"/>
    </xf>
    <xf numFmtId="17" fontId="4" fillId="2" borderId="1" xfId="0" applyNumberFormat="1" applyFont="1" applyFill="1" applyBorder="1" applyAlignment="1">
      <alignment horizontal="center"/>
    </xf>
    <xf numFmtId="0" fontId="5" fillId="2" borderId="1" xfId="0" applyFont="1" applyFill="1" applyBorder="1"/>
    <xf numFmtId="165" fontId="2" fillId="2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66" fontId="2" fillId="5" borderId="1" xfId="0" applyNumberFormat="1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167" fontId="8" fillId="2" borderId="1" xfId="0" applyNumberFormat="1" applyFont="1" applyFill="1" applyBorder="1"/>
    <xf numFmtId="167" fontId="8" fillId="3" borderId="1" xfId="0" applyNumberFormat="1" applyFont="1" applyFill="1" applyBorder="1"/>
    <xf numFmtId="166" fontId="2" fillId="2" borderId="1" xfId="0" applyNumberFormat="1" applyFont="1" applyFill="1" applyBorder="1" applyAlignment="1">
      <alignment horizontal="left"/>
    </xf>
    <xf numFmtId="166" fontId="6" fillId="2" borderId="1" xfId="0" applyNumberFormat="1" applyFont="1" applyFill="1" applyBorder="1" applyAlignment="1">
      <alignment horizontal="left"/>
    </xf>
    <xf numFmtId="166" fontId="6" fillId="3" borderId="1" xfId="0" applyNumberFormat="1" applyFont="1" applyFill="1" applyBorder="1"/>
    <xf numFmtId="166" fontId="7" fillId="3" borderId="1" xfId="0" applyNumberFormat="1" applyFont="1" applyFill="1" applyBorder="1"/>
    <xf numFmtId="166" fontId="2" fillId="3" borderId="1" xfId="0" applyNumberFormat="1" applyFont="1" applyFill="1" applyBorder="1"/>
    <xf numFmtId="0" fontId="5" fillId="0" borderId="0" xfId="0" applyFont="1"/>
    <xf numFmtId="166" fontId="5" fillId="2" borderId="1" xfId="0" applyNumberFormat="1" applyFont="1" applyFill="1" applyBorder="1" applyAlignment="1">
      <alignment horizontal="left"/>
    </xf>
    <xf numFmtId="166" fontId="8" fillId="2" borderId="1" xfId="0" applyNumberFormat="1" applyFont="1" applyFill="1" applyBorder="1" applyAlignment="1">
      <alignment horizontal="left"/>
    </xf>
    <xf numFmtId="166" fontId="8" fillId="3" borderId="1" xfId="0" applyNumberFormat="1" applyFont="1" applyFill="1" applyBorder="1"/>
    <xf numFmtId="166" fontId="9" fillId="3" borderId="1" xfId="0" applyNumberFormat="1" applyFont="1" applyFill="1" applyBorder="1"/>
    <xf numFmtId="166" fontId="5" fillId="3" borderId="1" xfId="0" applyNumberFormat="1" applyFont="1" applyFill="1" applyBorder="1"/>
    <xf numFmtId="166" fontId="2" fillId="2" borderId="2" xfId="0" applyNumberFormat="1" applyFont="1" applyFill="1" applyBorder="1" applyAlignment="1">
      <alignment horizontal="left"/>
    </xf>
    <xf numFmtId="166" fontId="6" fillId="2" borderId="2" xfId="0" applyNumberFormat="1" applyFont="1" applyFill="1" applyBorder="1" applyAlignment="1">
      <alignment horizontal="left"/>
    </xf>
    <xf numFmtId="166" fontId="6" fillId="3" borderId="2" xfId="0" applyNumberFormat="1" applyFont="1" applyFill="1" applyBorder="1"/>
    <xf numFmtId="166" fontId="2" fillId="3" borderId="2" xfId="0" applyNumberFormat="1" applyFont="1" applyFill="1" applyBorder="1"/>
    <xf numFmtId="166" fontId="8" fillId="3" borderId="3" xfId="0" applyNumberFormat="1" applyFont="1" applyFill="1" applyBorder="1"/>
    <xf numFmtId="166" fontId="9" fillId="3" borderId="3" xfId="0" applyNumberFormat="1" applyFont="1" applyFill="1" applyBorder="1"/>
    <xf numFmtId="166" fontId="5" fillId="3" borderId="3" xfId="0" applyNumberFormat="1" applyFont="1" applyFill="1" applyBorder="1"/>
    <xf numFmtId="166" fontId="6" fillId="3" borderId="4" xfId="0" applyNumberFormat="1" applyFont="1" applyFill="1" applyBorder="1"/>
    <xf numFmtId="166" fontId="2" fillId="3" borderId="4" xfId="0" applyNumberFormat="1" applyFont="1" applyFill="1" applyBorder="1"/>
    <xf numFmtId="167" fontId="8" fillId="2" borderId="1" xfId="0" applyNumberFormat="1" applyFont="1" applyFill="1" applyBorder="1" applyAlignment="1">
      <alignment horizontal="left"/>
    </xf>
    <xf numFmtId="167" fontId="9" fillId="3" borderId="1" xfId="0" applyNumberFormat="1" applyFont="1" applyFill="1" applyBorder="1"/>
    <xf numFmtId="168" fontId="5" fillId="2" borderId="1" xfId="0" applyNumberFormat="1" applyFont="1" applyFill="1" applyBorder="1"/>
    <xf numFmtId="168" fontId="8" fillId="2" borderId="1" xfId="0" applyNumberFormat="1" applyFont="1" applyFill="1" applyBorder="1" applyAlignment="1">
      <alignment horizontal="left"/>
    </xf>
    <xf numFmtId="168" fontId="8" fillId="3" borderId="1" xfId="0" applyNumberFormat="1" applyFont="1" applyFill="1" applyBorder="1"/>
    <xf numFmtId="168" fontId="6" fillId="2" borderId="1" xfId="0" applyNumberFormat="1" applyFont="1" applyFill="1" applyBorder="1"/>
    <xf numFmtId="168" fontId="6" fillId="3" borderId="1" xfId="0" applyNumberFormat="1" applyFont="1" applyFill="1" applyBorder="1"/>
    <xf numFmtId="0" fontId="2" fillId="6" borderId="1" xfId="0" applyFont="1" applyFill="1" applyBorder="1"/>
    <xf numFmtId="0" fontId="5" fillId="6" borderId="1" xfId="0" applyFont="1" applyFill="1" applyBorder="1"/>
    <xf numFmtId="0" fontId="5" fillId="6" borderId="0" xfId="0" applyFont="1" applyFill="1"/>
    <xf numFmtId="167" fontId="8" fillId="6" borderId="1" xfId="0" applyNumberFormat="1" applyFont="1" applyFill="1" applyBorder="1"/>
    <xf numFmtId="167" fontId="9" fillId="6" borderId="1" xfId="0" applyNumberFormat="1" applyFont="1" applyFill="1" applyBorder="1"/>
    <xf numFmtId="167" fontId="2" fillId="2" borderId="1" xfId="0" applyNumberFormat="1" applyFont="1" applyFill="1" applyBorder="1" applyAlignment="1">
      <alignment horizontal="left"/>
    </xf>
    <xf numFmtId="166" fontId="8" fillId="2" borderId="1" xfId="0" applyNumberFormat="1" applyFont="1" applyFill="1" applyBorder="1"/>
    <xf numFmtId="166" fontId="6" fillId="2" borderId="2" xfId="0" applyNumberFormat="1" applyFont="1" applyFill="1" applyBorder="1"/>
    <xf numFmtId="166" fontId="6" fillId="2" borderId="1" xfId="0" applyNumberFormat="1" applyFont="1" applyFill="1" applyBorder="1"/>
    <xf numFmtId="166" fontId="2" fillId="2" borderId="1" xfId="0" applyNumberFormat="1" applyFont="1" applyFill="1" applyBorder="1"/>
    <xf numFmtId="0" fontId="2" fillId="7" borderId="1" xfId="0" applyFont="1" applyFill="1" applyBorder="1"/>
    <xf numFmtId="0" fontId="5" fillId="7" borderId="1" xfId="0" applyFont="1" applyFill="1" applyBorder="1"/>
    <xf numFmtId="0" fontId="5" fillId="7" borderId="0" xfId="0" applyFont="1" applyFill="1"/>
    <xf numFmtId="167" fontId="8" fillId="7" borderId="1" xfId="0" applyNumberFormat="1" applyFont="1" applyFill="1" applyBorder="1"/>
    <xf numFmtId="167" fontId="9" fillId="7" borderId="1" xfId="0" applyNumberFormat="1" applyFont="1" applyFill="1" applyBorder="1"/>
    <xf numFmtId="167" fontId="6" fillId="2" borderId="1" xfId="0" applyNumberFormat="1" applyFont="1" applyFill="1" applyBorder="1" applyAlignment="1">
      <alignment horizontal="left"/>
    </xf>
    <xf numFmtId="167" fontId="6" fillId="3" borderId="1" xfId="0" applyNumberFormat="1" applyFont="1" applyFill="1" applyBorder="1"/>
    <xf numFmtId="167" fontId="6" fillId="2" borderId="1" xfId="0" applyNumberFormat="1" applyFont="1" applyFill="1" applyBorder="1"/>
    <xf numFmtId="166" fontId="9" fillId="2" borderId="1" xfId="0" applyNumberFormat="1" applyFont="1" applyFill="1" applyBorder="1"/>
    <xf numFmtId="0" fontId="0" fillId="0" borderId="1" xfId="0" applyBorder="1"/>
    <xf numFmtId="3" fontId="9" fillId="3" borderId="1" xfId="0" applyNumberFormat="1" applyFont="1" applyFill="1" applyBorder="1"/>
    <xf numFmtId="3" fontId="0" fillId="0" borderId="0" xfId="0" applyNumberFormat="1"/>
    <xf numFmtId="166" fontId="2" fillId="3" borderId="1" xfId="0" applyNumberFormat="1" applyFont="1" applyFill="1" applyBorder="1" applyAlignment="1">
      <alignment wrapText="1"/>
    </xf>
    <xf numFmtId="166" fontId="5" fillId="3" borderId="1" xfId="0" applyNumberFormat="1" applyFont="1" applyFill="1" applyBorder="1" applyAlignment="1">
      <alignment wrapText="1"/>
    </xf>
    <xf numFmtId="9" fontId="8" fillId="3" borderId="1" xfId="1" applyFont="1" applyFill="1" applyBorder="1"/>
    <xf numFmtId="9" fontId="6" fillId="2" borderId="1" xfId="1" applyFont="1" applyFill="1" applyBorder="1"/>
    <xf numFmtId="43" fontId="0" fillId="0" borderId="0" xfId="0" applyNumberFormat="1"/>
    <xf numFmtId="0" fontId="15" fillId="2" borderId="0" xfId="0" applyFont="1" applyFill="1"/>
    <xf numFmtId="0" fontId="15" fillId="0" borderId="0" xfId="0" applyFont="1"/>
    <xf numFmtId="0" fontId="15" fillId="2" borderId="1" xfId="0" applyFont="1" applyFill="1" applyBorder="1"/>
    <xf numFmtId="0" fontId="15" fillId="2" borderId="3" xfId="0" applyFont="1" applyFill="1" applyBorder="1"/>
    <xf numFmtId="169" fontId="17" fillId="7" borderId="3" xfId="0" applyNumberFormat="1" applyFont="1" applyFill="1" applyBorder="1" applyAlignment="1">
      <alignment horizontal="right"/>
    </xf>
    <xf numFmtId="170" fontId="15" fillId="2" borderId="1" xfId="0" applyNumberFormat="1" applyFont="1" applyFill="1" applyBorder="1" applyAlignment="1">
      <alignment horizontal="right"/>
    </xf>
    <xf numFmtId="170" fontId="15" fillId="6" borderId="1" xfId="0" applyNumberFormat="1" applyFont="1" applyFill="1" applyBorder="1" applyAlignment="1">
      <alignment horizontal="right"/>
    </xf>
    <xf numFmtId="171" fontId="17" fillId="2" borderId="1" xfId="0" applyNumberFormat="1" applyFont="1" applyFill="1" applyBorder="1"/>
    <xf numFmtId="171" fontId="15" fillId="2" borderId="1" xfId="0" applyNumberFormat="1" applyFont="1" applyFill="1" applyBorder="1"/>
    <xf numFmtId="171" fontId="17" fillId="2" borderId="1" xfId="0" applyNumberFormat="1" applyFont="1" applyFill="1" applyBorder="1" applyAlignment="1">
      <alignment horizontal="right"/>
    </xf>
    <xf numFmtId="170" fontId="15" fillId="2" borderId="1" xfId="0" applyNumberFormat="1" applyFont="1" applyFill="1" applyBorder="1"/>
    <xf numFmtId="171" fontId="17" fillId="6" borderId="1" xfId="0" applyNumberFormat="1" applyFont="1" applyFill="1" applyBorder="1" applyAlignment="1">
      <alignment horizontal="right"/>
    </xf>
    <xf numFmtId="170" fontId="15" fillId="6" borderId="1" xfId="0" applyNumberFormat="1" applyFont="1" applyFill="1" applyBorder="1"/>
    <xf numFmtId="172" fontId="13" fillId="2" borderId="1" xfId="0" applyNumberFormat="1" applyFont="1" applyFill="1" applyBorder="1" applyAlignment="1">
      <alignment horizontal="right"/>
    </xf>
    <xf numFmtId="171" fontId="18" fillId="7" borderId="1" xfId="0" applyNumberFormat="1" applyFont="1" applyFill="1" applyBorder="1" applyAlignment="1">
      <alignment horizontal="right"/>
    </xf>
    <xf numFmtId="171" fontId="19" fillId="2" borderId="1" xfId="0" applyNumberFormat="1" applyFont="1" applyFill="1" applyBorder="1" applyAlignment="1">
      <alignment horizontal="right"/>
    </xf>
    <xf numFmtId="170" fontId="15" fillId="2" borderId="3" xfId="0" applyNumberFormat="1" applyFont="1" applyFill="1" applyBorder="1" applyAlignment="1">
      <alignment horizontal="right"/>
    </xf>
    <xf numFmtId="0" fontId="20" fillId="2" borderId="1" xfId="0" applyFont="1" applyFill="1" applyBorder="1"/>
    <xf numFmtId="0" fontId="13" fillId="2" borderId="1" xfId="0" applyFont="1" applyFill="1" applyBorder="1"/>
    <xf numFmtId="173" fontId="13" fillId="2" borderId="1" xfId="0" applyNumberFormat="1" applyFont="1" applyFill="1" applyBorder="1" applyAlignment="1">
      <alignment horizontal="right"/>
    </xf>
    <xf numFmtId="37" fontId="19" fillId="6" borderId="1" xfId="0" applyNumberFormat="1" applyFont="1" applyFill="1" applyBorder="1" applyAlignment="1">
      <alignment horizontal="right"/>
    </xf>
    <xf numFmtId="37" fontId="19" fillId="6" borderId="3" xfId="0" applyNumberFormat="1" applyFont="1" applyFill="1" applyBorder="1" applyAlignment="1">
      <alignment horizontal="right"/>
    </xf>
    <xf numFmtId="0" fontId="20" fillId="2" borderId="3" xfId="0" applyFont="1" applyFill="1" applyBorder="1"/>
    <xf numFmtId="37" fontId="20" fillId="2" borderId="3" xfId="0" applyNumberFormat="1" applyFont="1" applyFill="1" applyBorder="1" applyAlignment="1">
      <alignment horizontal="right"/>
    </xf>
    <xf numFmtId="37" fontId="19" fillId="2" borderId="1" xfId="0" applyNumberFormat="1" applyFont="1" applyFill="1" applyBorder="1" applyAlignment="1">
      <alignment horizontal="right"/>
    </xf>
    <xf numFmtId="174" fontId="15" fillId="2" borderId="3" xfId="0" applyNumberFormat="1" applyFont="1" applyFill="1" applyBorder="1" applyAlignment="1">
      <alignment horizontal="right"/>
    </xf>
    <xf numFmtId="44" fontId="15" fillId="2" borderId="1" xfId="0" applyNumberFormat="1" applyFont="1" applyFill="1" applyBorder="1" applyAlignment="1">
      <alignment horizontal="right"/>
    </xf>
    <xf numFmtId="171" fontId="15" fillId="9" borderId="1" xfId="0" applyNumberFormat="1" applyFont="1" applyFill="1" applyBorder="1" applyAlignment="1">
      <alignment horizontal="right"/>
    </xf>
    <xf numFmtId="14" fontId="16" fillId="6" borderId="1" xfId="0" applyNumberFormat="1" applyFont="1" applyFill="1" applyBorder="1" applyAlignment="1">
      <alignment horizontal="right"/>
    </xf>
    <xf numFmtId="9" fontId="8" fillId="2" borderId="1" xfId="1" applyFont="1" applyFill="1" applyBorder="1"/>
    <xf numFmtId="14" fontId="0" fillId="0" borderId="0" xfId="0" applyNumberFormat="1"/>
    <xf numFmtId="0" fontId="22" fillId="0" borderId="0" xfId="0" applyFont="1"/>
    <xf numFmtId="0" fontId="23" fillId="0" borderId="0" xfId="0" applyFon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8" fontId="23" fillId="0" borderId="0" xfId="0" applyNumberFormat="1" applyFont="1"/>
    <xf numFmtId="9" fontId="23" fillId="0" borderId="0" xfId="0" applyNumberFormat="1" applyFont="1"/>
    <xf numFmtId="10" fontId="24" fillId="0" borderId="0" xfId="0" applyNumberFormat="1" applyFont="1"/>
    <xf numFmtId="10" fontId="23" fillId="0" borderId="0" xfId="0" applyNumberFormat="1" applyFont="1"/>
    <xf numFmtId="10" fontId="0" fillId="0" borderId="0" xfId="1" applyNumberFormat="1" applyFont="1"/>
    <xf numFmtId="0" fontId="1" fillId="8" borderId="0" xfId="3"/>
    <xf numFmtId="8" fontId="1" fillId="8" borderId="0" xfId="3" applyNumberFormat="1"/>
    <xf numFmtId="9" fontId="1" fillId="8" borderId="0" xfId="3" applyNumberFormat="1"/>
    <xf numFmtId="10" fontId="1" fillId="8" borderId="0" xfId="3" applyNumberFormat="1"/>
    <xf numFmtId="6" fontId="0" fillId="0" borderId="0" xfId="0" applyNumberFormat="1"/>
    <xf numFmtId="44" fontId="23" fillId="0" borderId="0" xfId="0" applyNumberFormat="1" applyFont="1"/>
    <xf numFmtId="9" fontId="6" fillId="3" borderId="1" xfId="1" applyFont="1" applyFill="1" applyBorder="1"/>
    <xf numFmtId="0" fontId="27" fillId="0" borderId="0" xfId="0" applyFont="1"/>
    <xf numFmtId="0" fontId="28" fillId="0" borderId="0" xfId="0" applyFont="1"/>
    <xf numFmtId="6" fontId="27" fillId="0" borderId="0" xfId="0" applyNumberFormat="1" applyFont="1"/>
    <xf numFmtId="0" fontId="29" fillId="0" borderId="0" xfId="0" applyFont="1"/>
    <xf numFmtId="9" fontId="29" fillId="0" borderId="0" xfId="0" applyNumberFormat="1" applyFont="1"/>
    <xf numFmtId="9" fontId="5" fillId="0" borderId="0" xfId="1" applyFont="1"/>
    <xf numFmtId="9" fontId="28" fillId="0" borderId="0" xfId="1" applyFont="1"/>
    <xf numFmtId="8" fontId="29" fillId="0" borderId="0" xfId="0" applyNumberFormat="1" applyFont="1"/>
    <xf numFmtId="2" fontId="27" fillId="0" borderId="0" xfId="0" applyNumberFormat="1" applyFont="1"/>
    <xf numFmtId="17" fontId="0" fillId="0" borderId="0" xfId="0" applyNumberFormat="1"/>
    <xf numFmtId="175" fontId="15" fillId="2" borderId="1" xfId="0" applyNumberFormat="1" applyFont="1" applyFill="1" applyBorder="1"/>
    <xf numFmtId="0" fontId="30" fillId="10" borderId="5" xfId="0" applyFont="1" applyFill="1" applyBorder="1" applyAlignment="1">
      <alignment readingOrder="1"/>
    </xf>
    <xf numFmtId="0" fontId="30" fillId="11" borderId="6" xfId="0" applyFont="1" applyFill="1" applyBorder="1" applyAlignment="1">
      <alignment readingOrder="1"/>
    </xf>
    <xf numFmtId="0" fontId="31" fillId="12" borderId="7" xfId="0" applyFont="1" applyFill="1" applyBorder="1" applyAlignment="1">
      <alignment readingOrder="1"/>
    </xf>
    <xf numFmtId="0" fontId="30" fillId="11" borderId="8" xfId="0" applyFont="1" applyFill="1" applyBorder="1" applyAlignment="1">
      <alignment readingOrder="1"/>
    </xf>
    <xf numFmtId="0" fontId="32" fillId="12" borderId="7" xfId="0" applyFont="1" applyFill="1" applyBorder="1" applyAlignment="1">
      <alignment readingOrder="1"/>
    </xf>
    <xf numFmtId="0" fontId="30" fillId="12" borderId="7" xfId="0" applyFont="1" applyFill="1" applyBorder="1" applyAlignment="1">
      <alignment readingOrder="1"/>
    </xf>
    <xf numFmtId="0" fontId="30" fillId="12" borderId="8" xfId="0" applyFont="1" applyFill="1" applyBorder="1" applyAlignment="1">
      <alignment readingOrder="1"/>
    </xf>
    <xf numFmtId="0" fontId="30" fillId="12" borderId="9" xfId="0" applyFont="1" applyFill="1" applyBorder="1" applyAlignment="1">
      <alignment readingOrder="1"/>
    </xf>
    <xf numFmtId="0" fontId="31" fillId="12" borderId="10" xfId="0" applyFont="1" applyFill="1" applyBorder="1" applyAlignment="1">
      <alignment readingOrder="1"/>
    </xf>
    <xf numFmtId="175" fontId="30" fillId="11" borderId="8" xfId="0" applyNumberFormat="1" applyFont="1" applyFill="1" applyBorder="1" applyAlignment="1">
      <alignment readingOrder="1"/>
    </xf>
    <xf numFmtId="10" fontId="30" fillId="11" borderId="8" xfId="0" applyNumberFormat="1" applyFont="1" applyFill="1" applyBorder="1" applyAlignment="1">
      <alignment readingOrder="1"/>
    </xf>
    <xf numFmtId="170" fontId="30" fillId="11" borderId="8" xfId="0" applyNumberFormat="1" applyFont="1" applyFill="1" applyBorder="1" applyAlignment="1">
      <alignment readingOrder="1"/>
    </xf>
    <xf numFmtId="175" fontId="33" fillId="11" borderId="8" xfId="0" applyNumberFormat="1" applyFont="1" applyFill="1" applyBorder="1" applyAlignment="1">
      <alignment readingOrder="1"/>
    </xf>
    <xf numFmtId="170" fontId="30" fillId="11" borderId="8" xfId="0" applyNumberFormat="1" applyFont="1" applyFill="1" applyBorder="1" applyAlignment="1">
      <alignment horizontal="right" readingOrder="1"/>
    </xf>
    <xf numFmtId="170" fontId="33" fillId="11" borderId="8" xfId="0" applyNumberFormat="1" applyFont="1" applyFill="1" applyBorder="1" applyAlignment="1">
      <alignment readingOrder="1"/>
    </xf>
    <xf numFmtId="170" fontId="33" fillId="11" borderId="8" xfId="0" applyNumberFormat="1" applyFont="1" applyFill="1" applyBorder="1" applyAlignment="1">
      <alignment horizontal="right" readingOrder="1"/>
    </xf>
    <xf numFmtId="166" fontId="8" fillId="3" borderId="1" xfId="0" applyNumberFormat="1" applyFont="1" applyFill="1" applyBorder="1" applyAlignment="1">
      <alignment horizontal="right"/>
    </xf>
    <xf numFmtId="166" fontId="9" fillId="3" borderId="1" xfId="0" applyNumberFormat="1" applyFont="1" applyFill="1" applyBorder="1" applyAlignment="1">
      <alignment horizontal="right"/>
    </xf>
    <xf numFmtId="0" fontId="30" fillId="11" borderId="8" xfId="0" applyFont="1" applyFill="1" applyBorder="1" applyAlignment="1">
      <alignment horizontal="right" readingOrder="1"/>
    </xf>
    <xf numFmtId="175" fontId="30" fillId="11" borderId="8" xfId="0" applyNumberFormat="1" applyFont="1" applyFill="1" applyBorder="1" applyAlignment="1">
      <alignment horizontal="right" readingOrder="1"/>
    </xf>
    <xf numFmtId="170" fontId="30" fillId="12" borderId="8" xfId="0" applyNumberFormat="1" applyFont="1" applyFill="1" applyBorder="1" applyAlignment="1">
      <alignment readingOrder="1"/>
    </xf>
    <xf numFmtId="170" fontId="33" fillId="13" borderId="8" xfId="0" applyNumberFormat="1" applyFont="1" applyFill="1" applyBorder="1" applyAlignment="1">
      <alignment readingOrder="1"/>
    </xf>
    <xf numFmtId="0" fontId="0" fillId="0" borderId="1" xfId="0" applyBorder="1"/>
    <xf numFmtId="0" fontId="11" fillId="0" borderId="1" xfId="0" applyFont="1" applyBorder="1"/>
    <xf numFmtId="0" fontId="0" fillId="0" borderId="3" xfId="0" applyBorder="1"/>
    <xf numFmtId="0" fontId="12" fillId="2" borderId="1" xfId="0" applyFont="1" applyFill="1" applyBorder="1"/>
    <xf numFmtId="0" fontId="14" fillId="0" borderId="1" xfId="0" applyFont="1" applyBorder="1"/>
    <xf numFmtId="170" fontId="15" fillId="2" borderId="1" xfId="2" applyNumberFormat="1" applyFont="1" applyFill="1" applyBorder="1"/>
    <xf numFmtId="2" fontId="30" fillId="11" borderId="11" xfId="0" applyNumberFormat="1" applyFont="1" applyFill="1" applyBorder="1" applyAlignment="1">
      <alignment readingOrder="1"/>
    </xf>
    <xf numFmtId="2" fontId="33" fillId="11" borderId="11" xfId="0" applyNumberFormat="1" applyFont="1" applyFill="1" applyBorder="1" applyAlignment="1">
      <alignment readingOrder="1"/>
    </xf>
    <xf numFmtId="0" fontId="0" fillId="0" borderId="0" xfId="0" applyFont="1"/>
    <xf numFmtId="0" fontId="35" fillId="14" borderId="0" xfId="0" applyFont="1" applyFill="1"/>
    <xf numFmtId="0" fontId="36" fillId="14" borderId="0" xfId="0" applyFont="1" applyFill="1"/>
    <xf numFmtId="44" fontId="34" fillId="0" borderId="0" xfId="2" applyFont="1"/>
    <xf numFmtId="14" fontId="34" fillId="0" borderId="0" xfId="0" applyNumberFormat="1" applyFont="1"/>
    <xf numFmtId="0" fontId="0" fillId="0" borderId="12" xfId="0" applyBorder="1"/>
    <xf numFmtId="0" fontId="21" fillId="15" borderId="12" xfId="0" applyFont="1" applyFill="1" applyBorder="1"/>
    <xf numFmtId="0" fontId="0" fillId="15" borderId="12" xfId="0" applyFill="1" applyBorder="1"/>
    <xf numFmtId="6" fontId="0" fillId="0" borderId="12" xfId="0" applyNumberFormat="1" applyBorder="1"/>
    <xf numFmtId="0" fontId="25" fillId="0" borderId="12" xfId="0" applyFont="1" applyBorder="1"/>
    <xf numFmtId="9" fontId="0" fillId="0" borderId="0" xfId="1" applyFont="1"/>
    <xf numFmtId="0" fontId="26" fillId="15" borderId="1" xfId="0" applyFont="1" applyFill="1" applyBorder="1"/>
    <xf numFmtId="0" fontId="2" fillId="16" borderId="12" xfId="0" applyFont="1" applyFill="1" applyBorder="1"/>
    <xf numFmtId="0" fontId="37" fillId="0" borderId="0" xfId="0" applyFont="1"/>
    <xf numFmtId="0" fontId="27" fillId="0" borderId="12" xfId="0" applyFont="1" applyBorder="1"/>
    <xf numFmtId="170" fontId="5" fillId="0" borderId="0" xfId="2" applyNumberFormat="1" applyFont="1"/>
    <xf numFmtId="170" fontId="5" fillId="0" borderId="12" xfId="2" applyNumberFormat="1" applyFont="1" applyBorder="1"/>
  </cellXfs>
  <cellStyles count="4">
    <cellStyle name="40% - Accent4" xfId="3" builtinId="43"/>
    <cellStyle name="Currency" xfId="2" builtinId="4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'Share Price'!$A$3:$A$2868</c:f>
              <c:numCache>
                <c:formatCode>m/d/yy</c:formatCode>
                <c:ptCount val="2866"/>
                <c:pt idx="0">
                  <c:v>46169</c:v>
                </c:pt>
                <c:pt idx="1">
                  <c:v>46168</c:v>
                </c:pt>
                <c:pt idx="2">
                  <c:v>46164</c:v>
                </c:pt>
                <c:pt idx="3">
                  <c:v>46163</c:v>
                </c:pt>
                <c:pt idx="4">
                  <c:v>46162</c:v>
                </c:pt>
                <c:pt idx="5">
                  <c:v>46161</c:v>
                </c:pt>
                <c:pt idx="6">
                  <c:v>46160</c:v>
                </c:pt>
                <c:pt idx="7">
                  <c:v>46157</c:v>
                </c:pt>
                <c:pt idx="8">
                  <c:v>46156</c:v>
                </c:pt>
                <c:pt idx="9">
                  <c:v>46155</c:v>
                </c:pt>
                <c:pt idx="10">
                  <c:v>46154</c:v>
                </c:pt>
                <c:pt idx="11">
                  <c:v>46153</c:v>
                </c:pt>
                <c:pt idx="12">
                  <c:v>46150</c:v>
                </c:pt>
                <c:pt idx="13">
                  <c:v>46149</c:v>
                </c:pt>
                <c:pt idx="14">
                  <c:v>46148</c:v>
                </c:pt>
                <c:pt idx="15">
                  <c:v>46147</c:v>
                </c:pt>
                <c:pt idx="16">
                  <c:v>46146</c:v>
                </c:pt>
                <c:pt idx="17">
                  <c:v>46143</c:v>
                </c:pt>
                <c:pt idx="18">
                  <c:v>46142</c:v>
                </c:pt>
                <c:pt idx="19">
                  <c:v>46141</c:v>
                </c:pt>
                <c:pt idx="20">
                  <c:v>46140</c:v>
                </c:pt>
                <c:pt idx="21">
                  <c:v>46139</c:v>
                </c:pt>
                <c:pt idx="22">
                  <c:v>46136</c:v>
                </c:pt>
                <c:pt idx="23">
                  <c:v>46135</c:v>
                </c:pt>
                <c:pt idx="24">
                  <c:v>46134</c:v>
                </c:pt>
                <c:pt idx="25">
                  <c:v>46133</c:v>
                </c:pt>
                <c:pt idx="26">
                  <c:v>46132</c:v>
                </c:pt>
                <c:pt idx="27">
                  <c:v>46129</c:v>
                </c:pt>
                <c:pt idx="28">
                  <c:v>46128</c:v>
                </c:pt>
                <c:pt idx="29">
                  <c:v>46127</c:v>
                </c:pt>
                <c:pt idx="30">
                  <c:v>46126</c:v>
                </c:pt>
                <c:pt idx="31">
                  <c:v>46125</c:v>
                </c:pt>
                <c:pt idx="32">
                  <c:v>46122</c:v>
                </c:pt>
                <c:pt idx="33">
                  <c:v>46121</c:v>
                </c:pt>
                <c:pt idx="34">
                  <c:v>46120</c:v>
                </c:pt>
                <c:pt idx="35">
                  <c:v>46119</c:v>
                </c:pt>
                <c:pt idx="36">
                  <c:v>46118</c:v>
                </c:pt>
                <c:pt idx="37">
                  <c:v>46114</c:v>
                </c:pt>
                <c:pt idx="38">
                  <c:v>46113</c:v>
                </c:pt>
                <c:pt idx="39">
                  <c:v>46112</c:v>
                </c:pt>
                <c:pt idx="40">
                  <c:v>46111</c:v>
                </c:pt>
                <c:pt idx="41">
                  <c:v>46108</c:v>
                </c:pt>
                <c:pt idx="42">
                  <c:v>46107</c:v>
                </c:pt>
                <c:pt idx="43">
                  <c:v>46106</c:v>
                </c:pt>
                <c:pt idx="44">
                  <c:v>46105</c:v>
                </c:pt>
                <c:pt idx="45">
                  <c:v>46104</c:v>
                </c:pt>
                <c:pt idx="46">
                  <c:v>46101</c:v>
                </c:pt>
                <c:pt idx="47">
                  <c:v>46100</c:v>
                </c:pt>
                <c:pt idx="48">
                  <c:v>46099</c:v>
                </c:pt>
                <c:pt idx="49">
                  <c:v>46098</c:v>
                </c:pt>
                <c:pt idx="50">
                  <c:v>46097</c:v>
                </c:pt>
                <c:pt idx="51">
                  <c:v>46094</c:v>
                </c:pt>
                <c:pt idx="52">
                  <c:v>46093</c:v>
                </c:pt>
                <c:pt idx="53">
                  <c:v>46092</c:v>
                </c:pt>
                <c:pt idx="54">
                  <c:v>46091</c:v>
                </c:pt>
                <c:pt idx="55">
                  <c:v>46090</c:v>
                </c:pt>
                <c:pt idx="56">
                  <c:v>46087</c:v>
                </c:pt>
                <c:pt idx="57">
                  <c:v>46086</c:v>
                </c:pt>
                <c:pt idx="58">
                  <c:v>46085</c:v>
                </c:pt>
                <c:pt idx="59">
                  <c:v>46084</c:v>
                </c:pt>
                <c:pt idx="60">
                  <c:v>46083</c:v>
                </c:pt>
                <c:pt idx="61">
                  <c:v>46080</c:v>
                </c:pt>
                <c:pt idx="62">
                  <c:v>46079</c:v>
                </c:pt>
                <c:pt idx="63">
                  <c:v>46078</c:v>
                </c:pt>
                <c:pt idx="64">
                  <c:v>46077</c:v>
                </c:pt>
                <c:pt idx="65">
                  <c:v>46076</c:v>
                </c:pt>
                <c:pt idx="66">
                  <c:v>46073</c:v>
                </c:pt>
                <c:pt idx="67">
                  <c:v>46072</c:v>
                </c:pt>
                <c:pt idx="68">
                  <c:v>46071</c:v>
                </c:pt>
                <c:pt idx="69">
                  <c:v>46070</c:v>
                </c:pt>
                <c:pt idx="70">
                  <c:v>46066</c:v>
                </c:pt>
                <c:pt idx="71">
                  <c:v>46065</c:v>
                </c:pt>
                <c:pt idx="72">
                  <c:v>46064</c:v>
                </c:pt>
                <c:pt idx="73">
                  <c:v>46063</c:v>
                </c:pt>
                <c:pt idx="74">
                  <c:v>46062</c:v>
                </c:pt>
                <c:pt idx="75">
                  <c:v>46059</c:v>
                </c:pt>
                <c:pt idx="76">
                  <c:v>46058</c:v>
                </c:pt>
                <c:pt idx="77">
                  <c:v>46057</c:v>
                </c:pt>
                <c:pt idx="78">
                  <c:v>46056</c:v>
                </c:pt>
                <c:pt idx="79">
                  <c:v>46055</c:v>
                </c:pt>
                <c:pt idx="80">
                  <c:v>46052</c:v>
                </c:pt>
                <c:pt idx="81">
                  <c:v>46051</c:v>
                </c:pt>
                <c:pt idx="82">
                  <c:v>46050</c:v>
                </c:pt>
                <c:pt idx="83">
                  <c:v>46049</c:v>
                </c:pt>
                <c:pt idx="84">
                  <c:v>46048</c:v>
                </c:pt>
                <c:pt idx="85">
                  <c:v>46045</c:v>
                </c:pt>
                <c:pt idx="86">
                  <c:v>46044</c:v>
                </c:pt>
                <c:pt idx="87">
                  <c:v>46043</c:v>
                </c:pt>
                <c:pt idx="88">
                  <c:v>46042</c:v>
                </c:pt>
                <c:pt idx="89">
                  <c:v>46038</c:v>
                </c:pt>
                <c:pt idx="90">
                  <c:v>46037</c:v>
                </c:pt>
                <c:pt idx="91">
                  <c:v>46036</c:v>
                </c:pt>
                <c:pt idx="92">
                  <c:v>46035</c:v>
                </c:pt>
                <c:pt idx="93">
                  <c:v>46034</c:v>
                </c:pt>
                <c:pt idx="94">
                  <c:v>46031</c:v>
                </c:pt>
                <c:pt idx="95">
                  <c:v>46030</c:v>
                </c:pt>
                <c:pt idx="96">
                  <c:v>46029</c:v>
                </c:pt>
                <c:pt idx="97">
                  <c:v>46028</c:v>
                </c:pt>
                <c:pt idx="98">
                  <c:v>46027</c:v>
                </c:pt>
                <c:pt idx="99">
                  <c:v>46024</c:v>
                </c:pt>
                <c:pt idx="100">
                  <c:v>46022</c:v>
                </c:pt>
                <c:pt idx="101">
                  <c:v>46021</c:v>
                </c:pt>
                <c:pt idx="102">
                  <c:v>46020</c:v>
                </c:pt>
                <c:pt idx="103">
                  <c:v>46017</c:v>
                </c:pt>
                <c:pt idx="104">
                  <c:v>46015</c:v>
                </c:pt>
                <c:pt idx="105">
                  <c:v>46014</c:v>
                </c:pt>
                <c:pt idx="106">
                  <c:v>46013</c:v>
                </c:pt>
                <c:pt idx="107">
                  <c:v>46010</c:v>
                </c:pt>
                <c:pt idx="108">
                  <c:v>46009</c:v>
                </c:pt>
                <c:pt idx="109">
                  <c:v>46008</c:v>
                </c:pt>
                <c:pt idx="110">
                  <c:v>46007</c:v>
                </c:pt>
                <c:pt idx="111">
                  <c:v>46006</c:v>
                </c:pt>
                <c:pt idx="112">
                  <c:v>46003</c:v>
                </c:pt>
                <c:pt idx="113">
                  <c:v>46002</c:v>
                </c:pt>
                <c:pt idx="114">
                  <c:v>46001</c:v>
                </c:pt>
                <c:pt idx="115">
                  <c:v>46000</c:v>
                </c:pt>
                <c:pt idx="116">
                  <c:v>45999</c:v>
                </c:pt>
                <c:pt idx="117">
                  <c:v>45996</c:v>
                </c:pt>
                <c:pt idx="118">
                  <c:v>45995</c:v>
                </c:pt>
                <c:pt idx="119">
                  <c:v>45994</c:v>
                </c:pt>
                <c:pt idx="120">
                  <c:v>45993</c:v>
                </c:pt>
                <c:pt idx="121">
                  <c:v>45992</c:v>
                </c:pt>
                <c:pt idx="122">
                  <c:v>45989</c:v>
                </c:pt>
                <c:pt idx="123">
                  <c:v>45987</c:v>
                </c:pt>
                <c:pt idx="124">
                  <c:v>45986</c:v>
                </c:pt>
                <c:pt idx="125">
                  <c:v>45985</c:v>
                </c:pt>
                <c:pt idx="126">
                  <c:v>45982</c:v>
                </c:pt>
                <c:pt idx="127">
                  <c:v>45981</c:v>
                </c:pt>
                <c:pt idx="128">
                  <c:v>45980</c:v>
                </c:pt>
                <c:pt idx="129">
                  <c:v>45979</c:v>
                </c:pt>
                <c:pt idx="130">
                  <c:v>45978</c:v>
                </c:pt>
                <c:pt idx="131">
                  <c:v>45975</c:v>
                </c:pt>
                <c:pt idx="132">
                  <c:v>45974</c:v>
                </c:pt>
                <c:pt idx="133">
                  <c:v>45973</c:v>
                </c:pt>
                <c:pt idx="134">
                  <c:v>45972</c:v>
                </c:pt>
                <c:pt idx="135">
                  <c:v>45971</c:v>
                </c:pt>
                <c:pt idx="136">
                  <c:v>45968</c:v>
                </c:pt>
                <c:pt idx="137">
                  <c:v>45967</c:v>
                </c:pt>
                <c:pt idx="138">
                  <c:v>45966</c:v>
                </c:pt>
                <c:pt idx="139">
                  <c:v>45965</c:v>
                </c:pt>
                <c:pt idx="140">
                  <c:v>45964</c:v>
                </c:pt>
                <c:pt idx="141">
                  <c:v>45961</c:v>
                </c:pt>
                <c:pt idx="142">
                  <c:v>45960</c:v>
                </c:pt>
                <c:pt idx="143">
                  <c:v>45959</c:v>
                </c:pt>
                <c:pt idx="144">
                  <c:v>45958</c:v>
                </c:pt>
                <c:pt idx="145">
                  <c:v>45957</c:v>
                </c:pt>
                <c:pt idx="146">
                  <c:v>45954</c:v>
                </c:pt>
                <c:pt idx="147">
                  <c:v>45953</c:v>
                </c:pt>
                <c:pt idx="148">
                  <c:v>45952</c:v>
                </c:pt>
                <c:pt idx="149">
                  <c:v>45951</c:v>
                </c:pt>
                <c:pt idx="150">
                  <c:v>45950</c:v>
                </c:pt>
                <c:pt idx="151">
                  <c:v>45947</c:v>
                </c:pt>
                <c:pt idx="152">
                  <c:v>45946</c:v>
                </c:pt>
                <c:pt idx="153">
                  <c:v>45945</c:v>
                </c:pt>
                <c:pt idx="154">
                  <c:v>45944</c:v>
                </c:pt>
                <c:pt idx="155">
                  <c:v>45943</c:v>
                </c:pt>
                <c:pt idx="156">
                  <c:v>45940</c:v>
                </c:pt>
                <c:pt idx="157">
                  <c:v>45939</c:v>
                </c:pt>
                <c:pt idx="158">
                  <c:v>45938</c:v>
                </c:pt>
                <c:pt idx="159">
                  <c:v>45937</c:v>
                </c:pt>
                <c:pt idx="160">
                  <c:v>45936</c:v>
                </c:pt>
                <c:pt idx="161">
                  <c:v>45933</c:v>
                </c:pt>
                <c:pt idx="162">
                  <c:v>45932</c:v>
                </c:pt>
                <c:pt idx="163">
                  <c:v>45931</c:v>
                </c:pt>
                <c:pt idx="164">
                  <c:v>45930</c:v>
                </c:pt>
                <c:pt idx="165">
                  <c:v>45929</c:v>
                </c:pt>
                <c:pt idx="166">
                  <c:v>45926</c:v>
                </c:pt>
                <c:pt idx="167">
                  <c:v>45925</c:v>
                </c:pt>
                <c:pt idx="168">
                  <c:v>45924</c:v>
                </c:pt>
                <c:pt idx="169">
                  <c:v>45923</c:v>
                </c:pt>
                <c:pt idx="170">
                  <c:v>45922</c:v>
                </c:pt>
                <c:pt idx="171">
                  <c:v>45919</c:v>
                </c:pt>
                <c:pt idx="172">
                  <c:v>45918</c:v>
                </c:pt>
                <c:pt idx="173">
                  <c:v>45917</c:v>
                </c:pt>
                <c:pt idx="174">
                  <c:v>45916</c:v>
                </c:pt>
                <c:pt idx="175">
                  <c:v>45915</c:v>
                </c:pt>
                <c:pt idx="176">
                  <c:v>45912</c:v>
                </c:pt>
                <c:pt idx="177">
                  <c:v>45911</c:v>
                </c:pt>
                <c:pt idx="178">
                  <c:v>45910</c:v>
                </c:pt>
                <c:pt idx="179">
                  <c:v>45909</c:v>
                </c:pt>
                <c:pt idx="180">
                  <c:v>45908</c:v>
                </c:pt>
                <c:pt idx="181">
                  <c:v>45905</c:v>
                </c:pt>
                <c:pt idx="182">
                  <c:v>45904</c:v>
                </c:pt>
                <c:pt idx="183">
                  <c:v>45903</c:v>
                </c:pt>
                <c:pt idx="184">
                  <c:v>45902</c:v>
                </c:pt>
                <c:pt idx="185">
                  <c:v>45898</c:v>
                </c:pt>
                <c:pt idx="186">
                  <c:v>45897</c:v>
                </c:pt>
                <c:pt idx="187">
                  <c:v>45896</c:v>
                </c:pt>
                <c:pt idx="188">
                  <c:v>45895</c:v>
                </c:pt>
                <c:pt idx="189">
                  <c:v>45894</c:v>
                </c:pt>
                <c:pt idx="190">
                  <c:v>45891</c:v>
                </c:pt>
                <c:pt idx="191">
                  <c:v>45890</c:v>
                </c:pt>
                <c:pt idx="192">
                  <c:v>45889</c:v>
                </c:pt>
                <c:pt idx="193">
                  <c:v>45888</c:v>
                </c:pt>
                <c:pt idx="194">
                  <c:v>45887</c:v>
                </c:pt>
                <c:pt idx="195">
                  <c:v>45884</c:v>
                </c:pt>
                <c:pt idx="196">
                  <c:v>45883</c:v>
                </c:pt>
                <c:pt idx="197">
                  <c:v>45882</c:v>
                </c:pt>
                <c:pt idx="198">
                  <c:v>45881</c:v>
                </c:pt>
                <c:pt idx="199">
                  <c:v>45880</c:v>
                </c:pt>
                <c:pt idx="200">
                  <c:v>45877</c:v>
                </c:pt>
                <c:pt idx="201">
                  <c:v>45876</c:v>
                </c:pt>
                <c:pt idx="202">
                  <c:v>45875</c:v>
                </c:pt>
                <c:pt idx="203">
                  <c:v>45874</c:v>
                </c:pt>
                <c:pt idx="204">
                  <c:v>45873</c:v>
                </c:pt>
                <c:pt idx="205">
                  <c:v>45870</c:v>
                </c:pt>
                <c:pt idx="206">
                  <c:v>45869</c:v>
                </c:pt>
                <c:pt idx="207">
                  <c:v>45868</c:v>
                </c:pt>
                <c:pt idx="208">
                  <c:v>45867</c:v>
                </c:pt>
                <c:pt idx="209">
                  <c:v>45866</c:v>
                </c:pt>
                <c:pt idx="210">
                  <c:v>45863</c:v>
                </c:pt>
                <c:pt idx="211">
                  <c:v>45862</c:v>
                </c:pt>
                <c:pt idx="212">
                  <c:v>45861</c:v>
                </c:pt>
                <c:pt idx="213">
                  <c:v>45860</c:v>
                </c:pt>
                <c:pt idx="214">
                  <c:v>45859</c:v>
                </c:pt>
                <c:pt idx="215">
                  <c:v>45856</c:v>
                </c:pt>
                <c:pt idx="216">
                  <c:v>45855</c:v>
                </c:pt>
                <c:pt idx="217">
                  <c:v>45854</c:v>
                </c:pt>
                <c:pt idx="218">
                  <c:v>45853</c:v>
                </c:pt>
                <c:pt idx="219">
                  <c:v>45852</c:v>
                </c:pt>
                <c:pt idx="220">
                  <c:v>45849</c:v>
                </c:pt>
                <c:pt idx="221">
                  <c:v>45848</c:v>
                </c:pt>
                <c:pt idx="222">
                  <c:v>45847</c:v>
                </c:pt>
                <c:pt idx="223">
                  <c:v>45846</c:v>
                </c:pt>
                <c:pt idx="224">
                  <c:v>45845</c:v>
                </c:pt>
                <c:pt idx="225">
                  <c:v>45841</c:v>
                </c:pt>
                <c:pt idx="226">
                  <c:v>45840</c:v>
                </c:pt>
                <c:pt idx="227">
                  <c:v>45839</c:v>
                </c:pt>
                <c:pt idx="228">
                  <c:v>45838</c:v>
                </c:pt>
                <c:pt idx="229">
                  <c:v>45835</c:v>
                </c:pt>
                <c:pt idx="230">
                  <c:v>45834</c:v>
                </c:pt>
                <c:pt idx="231">
                  <c:v>45833</c:v>
                </c:pt>
                <c:pt idx="232">
                  <c:v>45832</c:v>
                </c:pt>
                <c:pt idx="233">
                  <c:v>45831</c:v>
                </c:pt>
                <c:pt idx="234">
                  <c:v>45828</c:v>
                </c:pt>
                <c:pt idx="235">
                  <c:v>45826</c:v>
                </c:pt>
                <c:pt idx="236">
                  <c:v>45825</c:v>
                </c:pt>
                <c:pt idx="237">
                  <c:v>45824</c:v>
                </c:pt>
                <c:pt idx="238">
                  <c:v>45821</c:v>
                </c:pt>
                <c:pt idx="239">
                  <c:v>45820</c:v>
                </c:pt>
                <c:pt idx="240">
                  <c:v>45819</c:v>
                </c:pt>
                <c:pt idx="241">
                  <c:v>45818</c:v>
                </c:pt>
                <c:pt idx="242">
                  <c:v>45817</c:v>
                </c:pt>
                <c:pt idx="243">
                  <c:v>45814</c:v>
                </c:pt>
                <c:pt idx="244">
                  <c:v>45813</c:v>
                </c:pt>
                <c:pt idx="245">
                  <c:v>45812</c:v>
                </c:pt>
                <c:pt idx="246">
                  <c:v>45811</c:v>
                </c:pt>
                <c:pt idx="247">
                  <c:v>45810</c:v>
                </c:pt>
                <c:pt idx="248">
                  <c:v>45807</c:v>
                </c:pt>
                <c:pt idx="249">
                  <c:v>45806</c:v>
                </c:pt>
                <c:pt idx="250">
                  <c:v>45805</c:v>
                </c:pt>
                <c:pt idx="251">
                  <c:v>45804</c:v>
                </c:pt>
                <c:pt idx="252">
                  <c:v>45800</c:v>
                </c:pt>
                <c:pt idx="253">
                  <c:v>45799</c:v>
                </c:pt>
                <c:pt idx="254">
                  <c:v>45798</c:v>
                </c:pt>
                <c:pt idx="255">
                  <c:v>45797</c:v>
                </c:pt>
                <c:pt idx="256">
                  <c:v>45796</c:v>
                </c:pt>
                <c:pt idx="257">
                  <c:v>45793</c:v>
                </c:pt>
                <c:pt idx="258">
                  <c:v>45792</c:v>
                </c:pt>
                <c:pt idx="259">
                  <c:v>45791</c:v>
                </c:pt>
                <c:pt idx="260">
                  <c:v>45790</c:v>
                </c:pt>
                <c:pt idx="261">
                  <c:v>45789</c:v>
                </c:pt>
                <c:pt idx="262">
                  <c:v>45786</c:v>
                </c:pt>
                <c:pt idx="263">
                  <c:v>45785</c:v>
                </c:pt>
                <c:pt idx="264">
                  <c:v>45784</c:v>
                </c:pt>
                <c:pt idx="265">
                  <c:v>45783</c:v>
                </c:pt>
                <c:pt idx="266">
                  <c:v>45782</c:v>
                </c:pt>
                <c:pt idx="267">
                  <c:v>45779</c:v>
                </c:pt>
                <c:pt idx="268">
                  <c:v>45778</c:v>
                </c:pt>
                <c:pt idx="269">
                  <c:v>45777</c:v>
                </c:pt>
                <c:pt idx="270">
                  <c:v>45776</c:v>
                </c:pt>
                <c:pt idx="271">
                  <c:v>45775</c:v>
                </c:pt>
                <c:pt idx="272">
                  <c:v>45772</c:v>
                </c:pt>
                <c:pt idx="273">
                  <c:v>45771</c:v>
                </c:pt>
                <c:pt idx="274">
                  <c:v>45770</c:v>
                </c:pt>
                <c:pt idx="275">
                  <c:v>45769</c:v>
                </c:pt>
                <c:pt idx="276">
                  <c:v>45768</c:v>
                </c:pt>
                <c:pt idx="277">
                  <c:v>45764</c:v>
                </c:pt>
                <c:pt idx="278">
                  <c:v>45763</c:v>
                </c:pt>
                <c:pt idx="279">
                  <c:v>45762</c:v>
                </c:pt>
                <c:pt idx="280">
                  <c:v>45761</c:v>
                </c:pt>
                <c:pt idx="281">
                  <c:v>45758</c:v>
                </c:pt>
                <c:pt idx="282">
                  <c:v>45757</c:v>
                </c:pt>
                <c:pt idx="283">
                  <c:v>45756</c:v>
                </c:pt>
                <c:pt idx="284">
                  <c:v>45755</c:v>
                </c:pt>
                <c:pt idx="285">
                  <c:v>45754</c:v>
                </c:pt>
                <c:pt idx="286">
                  <c:v>45751</c:v>
                </c:pt>
                <c:pt idx="287">
                  <c:v>45750</c:v>
                </c:pt>
                <c:pt idx="288">
                  <c:v>45749</c:v>
                </c:pt>
                <c:pt idx="289">
                  <c:v>45748</c:v>
                </c:pt>
                <c:pt idx="290">
                  <c:v>45747</c:v>
                </c:pt>
                <c:pt idx="291">
                  <c:v>45744</c:v>
                </c:pt>
                <c:pt idx="292">
                  <c:v>45743</c:v>
                </c:pt>
                <c:pt idx="293">
                  <c:v>45742</c:v>
                </c:pt>
                <c:pt idx="294">
                  <c:v>45741</c:v>
                </c:pt>
                <c:pt idx="295">
                  <c:v>45740</c:v>
                </c:pt>
                <c:pt idx="296">
                  <c:v>45737</c:v>
                </c:pt>
                <c:pt idx="297">
                  <c:v>45736</c:v>
                </c:pt>
                <c:pt idx="298">
                  <c:v>45735</c:v>
                </c:pt>
                <c:pt idx="299">
                  <c:v>45734</c:v>
                </c:pt>
                <c:pt idx="300">
                  <c:v>45733</c:v>
                </c:pt>
                <c:pt idx="301">
                  <c:v>45730</c:v>
                </c:pt>
                <c:pt idx="302">
                  <c:v>45729</c:v>
                </c:pt>
                <c:pt idx="303">
                  <c:v>45728</c:v>
                </c:pt>
                <c:pt idx="304">
                  <c:v>45727</c:v>
                </c:pt>
                <c:pt idx="305">
                  <c:v>45726</c:v>
                </c:pt>
                <c:pt idx="306">
                  <c:v>45723</c:v>
                </c:pt>
                <c:pt idx="307">
                  <c:v>45722</c:v>
                </c:pt>
                <c:pt idx="308">
                  <c:v>45721</c:v>
                </c:pt>
                <c:pt idx="309">
                  <c:v>45720</c:v>
                </c:pt>
                <c:pt idx="310">
                  <c:v>45719</c:v>
                </c:pt>
                <c:pt idx="311">
                  <c:v>45716</c:v>
                </c:pt>
                <c:pt idx="312">
                  <c:v>45715</c:v>
                </c:pt>
                <c:pt idx="313">
                  <c:v>45714</c:v>
                </c:pt>
                <c:pt idx="314">
                  <c:v>45713</c:v>
                </c:pt>
                <c:pt idx="315">
                  <c:v>45712</c:v>
                </c:pt>
                <c:pt idx="316">
                  <c:v>45709</c:v>
                </c:pt>
                <c:pt idx="317">
                  <c:v>45708</c:v>
                </c:pt>
                <c:pt idx="318">
                  <c:v>45707</c:v>
                </c:pt>
                <c:pt idx="319">
                  <c:v>45706</c:v>
                </c:pt>
                <c:pt idx="320">
                  <c:v>45702</c:v>
                </c:pt>
                <c:pt idx="321">
                  <c:v>45701</c:v>
                </c:pt>
                <c:pt idx="322">
                  <c:v>45700</c:v>
                </c:pt>
                <c:pt idx="323">
                  <c:v>45699</c:v>
                </c:pt>
                <c:pt idx="324">
                  <c:v>45698</c:v>
                </c:pt>
                <c:pt idx="325">
                  <c:v>45695</c:v>
                </c:pt>
                <c:pt idx="326">
                  <c:v>45694</c:v>
                </c:pt>
                <c:pt idx="327">
                  <c:v>45693</c:v>
                </c:pt>
                <c:pt idx="328">
                  <c:v>45692</c:v>
                </c:pt>
                <c:pt idx="329">
                  <c:v>45691</c:v>
                </c:pt>
                <c:pt idx="330">
                  <c:v>45688</c:v>
                </c:pt>
                <c:pt idx="331">
                  <c:v>45687</c:v>
                </c:pt>
                <c:pt idx="332">
                  <c:v>45686</c:v>
                </c:pt>
                <c:pt idx="333">
                  <c:v>45685</c:v>
                </c:pt>
                <c:pt idx="334">
                  <c:v>45684</c:v>
                </c:pt>
                <c:pt idx="335">
                  <c:v>45681</c:v>
                </c:pt>
                <c:pt idx="336">
                  <c:v>45680</c:v>
                </c:pt>
                <c:pt idx="337">
                  <c:v>45679</c:v>
                </c:pt>
                <c:pt idx="338">
                  <c:v>45678</c:v>
                </c:pt>
                <c:pt idx="339">
                  <c:v>45674</c:v>
                </c:pt>
                <c:pt idx="340">
                  <c:v>45673</c:v>
                </c:pt>
                <c:pt idx="341">
                  <c:v>45672</c:v>
                </c:pt>
                <c:pt idx="342">
                  <c:v>45671</c:v>
                </c:pt>
                <c:pt idx="343">
                  <c:v>45670</c:v>
                </c:pt>
                <c:pt idx="344">
                  <c:v>45667</c:v>
                </c:pt>
                <c:pt idx="345">
                  <c:v>45665</c:v>
                </c:pt>
                <c:pt idx="346">
                  <c:v>45664</c:v>
                </c:pt>
                <c:pt idx="347">
                  <c:v>45663</c:v>
                </c:pt>
                <c:pt idx="348">
                  <c:v>45660</c:v>
                </c:pt>
                <c:pt idx="349">
                  <c:v>45659</c:v>
                </c:pt>
                <c:pt idx="350">
                  <c:v>45657</c:v>
                </c:pt>
                <c:pt idx="351">
                  <c:v>45656</c:v>
                </c:pt>
                <c:pt idx="352">
                  <c:v>45653</c:v>
                </c:pt>
                <c:pt idx="353">
                  <c:v>45652</c:v>
                </c:pt>
                <c:pt idx="354">
                  <c:v>45650</c:v>
                </c:pt>
                <c:pt idx="355">
                  <c:v>45649</c:v>
                </c:pt>
                <c:pt idx="356">
                  <c:v>45646</c:v>
                </c:pt>
                <c:pt idx="357">
                  <c:v>45645</c:v>
                </c:pt>
                <c:pt idx="358">
                  <c:v>45644</c:v>
                </c:pt>
                <c:pt idx="359">
                  <c:v>45643</c:v>
                </c:pt>
                <c:pt idx="360">
                  <c:v>45642</c:v>
                </c:pt>
                <c:pt idx="361">
                  <c:v>45639</c:v>
                </c:pt>
                <c:pt idx="362">
                  <c:v>45638</c:v>
                </c:pt>
                <c:pt idx="363">
                  <c:v>45637</c:v>
                </c:pt>
                <c:pt idx="364">
                  <c:v>45636</c:v>
                </c:pt>
                <c:pt idx="365">
                  <c:v>45635</c:v>
                </c:pt>
                <c:pt idx="366">
                  <c:v>45632</c:v>
                </c:pt>
                <c:pt idx="367">
                  <c:v>45631</c:v>
                </c:pt>
                <c:pt idx="368">
                  <c:v>45630</c:v>
                </c:pt>
                <c:pt idx="369">
                  <c:v>45629</c:v>
                </c:pt>
                <c:pt idx="370">
                  <c:v>45628</c:v>
                </c:pt>
                <c:pt idx="371">
                  <c:v>45625</c:v>
                </c:pt>
                <c:pt idx="372">
                  <c:v>45623</c:v>
                </c:pt>
                <c:pt idx="373">
                  <c:v>45622</c:v>
                </c:pt>
                <c:pt idx="374">
                  <c:v>45621</c:v>
                </c:pt>
                <c:pt idx="375">
                  <c:v>45618</c:v>
                </c:pt>
                <c:pt idx="376">
                  <c:v>45617</c:v>
                </c:pt>
                <c:pt idx="377">
                  <c:v>45616</c:v>
                </c:pt>
                <c:pt idx="378">
                  <c:v>45615</c:v>
                </c:pt>
                <c:pt idx="379">
                  <c:v>45614</c:v>
                </c:pt>
                <c:pt idx="380">
                  <c:v>45611</c:v>
                </c:pt>
                <c:pt idx="381">
                  <c:v>45610</c:v>
                </c:pt>
                <c:pt idx="382">
                  <c:v>45609</c:v>
                </c:pt>
                <c:pt idx="383">
                  <c:v>45608</c:v>
                </c:pt>
                <c:pt idx="384">
                  <c:v>45607</c:v>
                </c:pt>
                <c:pt idx="385">
                  <c:v>45604</c:v>
                </c:pt>
                <c:pt idx="386">
                  <c:v>45603</c:v>
                </c:pt>
                <c:pt idx="387">
                  <c:v>45602</c:v>
                </c:pt>
                <c:pt idx="388">
                  <c:v>45601</c:v>
                </c:pt>
                <c:pt idx="389">
                  <c:v>45600</c:v>
                </c:pt>
                <c:pt idx="390">
                  <c:v>45597</c:v>
                </c:pt>
                <c:pt idx="391">
                  <c:v>45596</c:v>
                </c:pt>
                <c:pt idx="392">
                  <c:v>45595</c:v>
                </c:pt>
                <c:pt idx="393">
                  <c:v>45594</c:v>
                </c:pt>
                <c:pt idx="394">
                  <c:v>45593</c:v>
                </c:pt>
                <c:pt idx="395">
                  <c:v>45590</c:v>
                </c:pt>
                <c:pt idx="396">
                  <c:v>45589</c:v>
                </c:pt>
                <c:pt idx="397">
                  <c:v>45588</c:v>
                </c:pt>
                <c:pt idx="398">
                  <c:v>45587</c:v>
                </c:pt>
                <c:pt idx="399">
                  <c:v>45586</c:v>
                </c:pt>
                <c:pt idx="400">
                  <c:v>45583</c:v>
                </c:pt>
                <c:pt idx="401">
                  <c:v>45582</c:v>
                </c:pt>
                <c:pt idx="402">
                  <c:v>45581</c:v>
                </c:pt>
                <c:pt idx="403">
                  <c:v>45580</c:v>
                </c:pt>
                <c:pt idx="404">
                  <c:v>45579</c:v>
                </c:pt>
                <c:pt idx="405">
                  <c:v>45576</c:v>
                </c:pt>
                <c:pt idx="406">
                  <c:v>45575</c:v>
                </c:pt>
                <c:pt idx="407">
                  <c:v>45574</c:v>
                </c:pt>
                <c:pt idx="408">
                  <c:v>45573</c:v>
                </c:pt>
                <c:pt idx="409">
                  <c:v>45572</c:v>
                </c:pt>
                <c:pt idx="410">
                  <c:v>45569</c:v>
                </c:pt>
                <c:pt idx="411">
                  <c:v>45568</c:v>
                </c:pt>
                <c:pt idx="412">
                  <c:v>45567</c:v>
                </c:pt>
                <c:pt idx="413">
                  <c:v>45566</c:v>
                </c:pt>
                <c:pt idx="414">
                  <c:v>45565</c:v>
                </c:pt>
                <c:pt idx="415">
                  <c:v>45562</c:v>
                </c:pt>
                <c:pt idx="416">
                  <c:v>45561</c:v>
                </c:pt>
                <c:pt idx="417">
                  <c:v>45560</c:v>
                </c:pt>
                <c:pt idx="418">
                  <c:v>45559</c:v>
                </c:pt>
                <c:pt idx="419">
                  <c:v>45558</c:v>
                </c:pt>
                <c:pt idx="420">
                  <c:v>45555</c:v>
                </c:pt>
                <c:pt idx="421">
                  <c:v>45554</c:v>
                </c:pt>
                <c:pt idx="422">
                  <c:v>45553</c:v>
                </c:pt>
                <c:pt idx="423">
                  <c:v>45552</c:v>
                </c:pt>
                <c:pt idx="424">
                  <c:v>45551</c:v>
                </c:pt>
                <c:pt idx="425">
                  <c:v>45548</c:v>
                </c:pt>
                <c:pt idx="426">
                  <c:v>45547</c:v>
                </c:pt>
                <c:pt idx="427">
                  <c:v>45546</c:v>
                </c:pt>
                <c:pt idx="428">
                  <c:v>45545</c:v>
                </c:pt>
                <c:pt idx="429">
                  <c:v>45544</c:v>
                </c:pt>
                <c:pt idx="430">
                  <c:v>45541</c:v>
                </c:pt>
                <c:pt idx="431">
                  <c:v>45540</c:v>
                </c:pt>
                <c:pt idx="432">
                  <c:v>45539</c:v>
                </c:pt>
                <c:pt idx="433">
                  <c:v>45538</c:v>
                </c:pt>
                <c:pt idx="434">
                  <c:v>45534</c:v>
                </c:pt>
                <c:pt idx="435">
                  <c:v>45533</c:v>
                </c:pt>
                <c:pt idx="436">
                  <c:v>45532</c:v>
                </c:pt>
                <c:pt idx="437">
                  <c:v>45531</c:v>
                </c:pt>
                <c:pt idx="438">
                  <c:v>45530</c:v>
                </c:pt>
                <c:pt idx="439">
                  <c:v>45527</c:v>
                </c:pt>
                <c:pt idx="440">
                  <c:v>45526</c:v>
                </c:pt>
                <c:pt idx="441">
                  <c:v>45525</c:v>
                </c:pt>
                <c:pt idx="442">
                  <c:v>45524</c:v>
                </c:pt>
                <c:pt idx="443">
                  <c:v>45523</c:v>
                </c:pt>
                <c:pt idx="444">
                  <c:v>45520</c:v>
                </c:pt>
                <c:pt idx="445">
                  <c:v>45519</c:v>
                </c:pt>
                <c:pt idx="446">
                  <c:v>45518</c:v>
                </c:pt>
                <c:pt idx="447">
                  <c:v>45517</c:v>
                </c:pt>
                <c:pt idx="448">
                  <c:v>45516</c:v>
                </c:pt>
                <c:pt idx="449">
                  <c:v>45513</c:v>
                </c:pt>
                <c:pt idx="450">
                  <c:v>45512</c:v>
                </c:pt>
                <c:pt idx="451">
                  <c:v>45511</c:v>
                </c:pt>
                <c:pt idx="452">
                  <c:v>45510</c:v>
                </c:pt>
                <c:pt idx="453">
                  <c:v>45509</c:v>
                </c:pt>
                <c:pt idx="454">
                  <c:v>45506</c:v>
                </c:pt>
                <c:pt idx="455">
                  <c:v>45505</c:v>
                </c:pt>
                <c:pt idx="456">
                  <c:v>45504</c:v>
                </c:pt>
                <c:pt idx="457">
                  <c:v>45503</c:v>
                </c:pt>
                <c:pt idx="458">
                  <c:v>45502</c:v>
                </c:pt>
                <c:pt idx="459">
                  <c:v>45499</c:v>
                </c:pt>
                <c:pt idx="460">
                  <c:v>45498</c:v>
                </c:pt>
                <c:pt idx="461">
                  <c:v>45497</c:v>
                </c:pt>
                <c:pt idx="462">
                  <c:v>45496</c:v>
                </c:pt>
                <c:pt idx="463">
                  <c:v>45495</c:v>
                </c:pt>
                <c:pt idx="464">
                  <c:v>45492</c:v>
                </c:pt>
                <c:pt idx="465">
                  <c:v>45491</c:v>
                </c:pt>
                <c:pt idx="466">
                  <c:v>45490</c:v>
                </c:pt>
                <c:pt idx="467">
                  <c:v>45489</c:v>
                </c:pt>
                <c:pt idx="468">
                  <c:v>45488</c:v>
                </c:pt>
                <c:pt idx="469">
                  <c:v>45485</c:v>
                </c:pt>
                <c:pt idx="470">
                  <c:v>45484</c:v>
                </c:pt>
                <c:pt idx="471">
                  <c:v>45483</c:v>
                </c:pt>
                <c:pt idx="472">
                  <c:v>45482</c:v>
                </c:pt>
                <c:pt idx="473">
                  <c:v>45481</c:v>
                </c:pt>
                <c:pt idx="474">
                  <c:v>45478</c:v>
                </c:pt>
                <c:pt idx="475">
                  <c:v>45476</c:v>
                </c:pt>
                <c:pt idx="476">
                  <c:v>45475</c:v>
                </c:pt>
                <c:pt idx="477">
                  <c:v>45474</c:v>
                </c:pt>
                <c:pt idx="478">
                  <c:v>45471</c:v>
                </c:pt>
                <c:pt idx="479">
                  <c:v>45470</c:v>
                </c:pt>
                <c:pt idx="480">
                  <c:v>45469</c:v>
                </c:pt>
                <c:pt idx="481">
                  <c:v>45468</c:v>
                </c:pt>
                <c:pt idx="482">
                  <c:v>45467</c:v>
                </c:pt>
                <c:pt idx="483">
                  <c:v>45464</c:v>
                </c:pt>
                <c:pt idx="484">
                  <c:v>45463</c:v>
                </c:pt>
                <c:pt idx="485">
                  <c:v>45461</c:v>
                </c:pt>
                <c:pt idx="486">
                  <c:v>45460</c:v>
                </c:pt>
                <c:pt idx="487">
                  <c:v>45457</c:v>
                </c:pt>
                <c:pt idx="488">
                  <c:v>45456</c:v>
                </c:pt>
                <c:pt idx="489">
                  <c:v>45455</c:v>
                </c:pt>
                <c:pt idx="490">
                  <c:v>45454</c:v>
                </c:pt>
                <c:pt idx="491">
                  <c:v>45453</c:v>
                </c:pt>
                <c:pt idx="492">
                  <c:v>45450</c:v>
                </c:pt>
                <c:pt idx="493">
                  <c:v>45449</c:v>
                </c:pt>
                <c:pt idx="494">
                  <c:v>45448</c:v>
                </c:pt>
                <c:pt idx="495">
                  <c:v>45447</c:v>
                </c:pt>
                <c:pt idx="496">
                  <c:v>45446</c:v>
                </c:pt>
                <c:pt idx="497">
                  <c:v>45443</c:v>
                </c:pt>
                <c:pt idx="498">
                  <c:v>45442</c:v>
                </c:pt>
                <c:pt idx="499">
                  <c:v>45441</c:v>
                </c:pt>
                <c:pt idx="500">
                  <c:v>45440</c:v>
                </c:pt>
                <c:pt idx="501">
                  <c:v>45436</c:v>
                </c:pt>
                <c:pt idx="502">
                  <c:v>45435</c:v>
                </c:pt>
                <c:pt idx="503">
                  <c:v>45434</c:v>
                </c:pt>
                <c:pt idx="504">
                  <c:v>45433</c:v>
                </c:pt>
                <c:pt idx="505">
                  <c:v>45432</c:v>
                </c:pt>
                <c:pt idx="506">
                  <c:v>45429</c:v>
                </c:pt>
                <c:pt idx="507">
                  <c:v>45428</c:v>
                </c:pt>
                <c:pt idx="508">
                  <c:v>45427</c:v>
                </c:pt>
                <c:pt idx="509">
                  <c:v>45426</c:v>
                </c:pt>
                <c:pt idx="510">
                  <c:v>45425</c:v>
                </c:pt>
                <c:pt idx="511">
                  <c:v>45422</c:v>
                </c:pt>
                <c:pt idx="512">
                  <c:v>45421</c:v>
                </c:pt>
                <c:pt idx="513">
                  <c:v>45420</c:v>
                </c:pt>
                <c:pt idx="514">
                  <c:v>45419</c:v>
                </c:pt>
                <c:pt idx="515">
                  <c:v>45418</c:v>
                </c:pt>
                <c:pt idx="516">
                  <c:v>45415</c:v>
                </c:pt>
                <c:pt idx="517">
                  <c:v>45414</c:v>
                </c:pt>
                <c:pt idx="518">
                  <c:v>45413</c:v>
                </c:pt>
                <c:pt idx="519">
                  <c:v>45412</c:v>
                </c:pt>
                <c:pt idx="520">
                  <c:v>45411</c:v>
                </c:pt>
                <c:pt idx="521">
                  <c:v>45408</c:v>
                </c:pt>
                <c:pt idx="522">
                  <c:v>45407</c:v>
                </c:pt>
                <c:pt idx="523">
                  <c:v>45406</c:v>
                </c:pt>
                <c:pt idx="524">
                  <c:v>45405</c:v>
                </c:pt>
                <c:pt idx="525">
                  <c:v>45404</c:v>
                </c:pt>
                <c:pt idx="526">
                  <c:v>45401</c:v>
                </c:pt>
                <c:pt idx="527">
                  <c:v>45400</c:v>
                </c:pt>
                <c:pt idx="528">
                  <c:v>45399</c:v>
                </c:pt>
                <c:pt idx="529">
                  <c:v>45398</c:v>
                </c:pt>
                <c:pt idx="530">
                  <c:v>45397</c:v>
                </c:pt>
                <c:pt idx="531">
                  <c:v>45394</c:v>
                </c:pt>
                <c:pt idx="532">
                  <c:v>45393</c:v>
                </c:pt>
                <c:pt idx="533">
                  <c:v>45392</c:v>
                </c:pt>
                <c:pt idx="534">
                  <c:v>45391</c:v>
                </c:pt>
                <c:pt idx="535">
                  <c:v>45390</c:v>
                </c:pt>
                <c:pt idx="536">
                  <c:v>45387</c:v>
                </c:pt>
                <c:pt idx="537">
                  <c:v>45386</c:v>
                </c:pt>
                <c:pt idx="538">
                  <c:v>45385</c:v>
                </c:pt>
                <c:pt idx="539">
                  <c:v>45384</c:v>
                </c:pt>
                <c:pt idx="540">
                  <c:v>45383</c:v>
                </c:pt>
                <c:pt idx="541">
                  <c:v>45379</c:v>
                </c:pt>
                <c:pt idx="542">
                  <c:v>45378</c:v>
                </c:pt>
                <c:pt idx="543">
                  <c:v>45377</c:v>
                </c:pt>
                <c:pt idx="544">
                  <c:v>45376</c:v>
                </c:pt>
                <c:pt idx="545">
                  <c:v>45373</c:v>
                </c:pt>
                <c:pt idx="546">
                  <c:v>45372</c:v>
                </c:pt>
                <c:pt idx="547">
                  <c:v>45371</c:v>
                </c:pt>
                <c:pt idx="548">
                  <c:v>45370</c:v>
                </c:pt>
                <c:pt idx="549">
                  <c:v>45369</c:v>
                </c:pt>
                <c:pt idx="550">
                  <c:v>45366</c:v>
                </c:pt>
                <c:pt idx="551">
                  <c:v>45365</c:v>
                </c:pt>
                <c:pt idx="552">
                  <c:v>45364</c:v>
                </c:pt>
                <c:pt idx="553">
                  <c:v>45363</c:v>
                </c:pt>
                <c:pt idx="554">
                  <c:v>45362</c:v>
                </c:pt>
                <c:pt idx="555">
                  <c:v>45359</c:v>
                </c:pt>
                <c:pt idx="556">
                  <c:v>45358</c:v>
                </c:pt>
                <c:pt idx="557">
                  <c:v>45357</c:v>
                </c:pt>
                <c:pt idx="558">
                  <c:v>45356</c:v>
                </c:pt>
                <c:pt idx="559">
                  <c:v>45355</c:v>
                </c:pt>
                <c:pt idx="560">
                  <c:v>45352</c:v>
                </c:pt>
                <c:pt idx="561">
                  <c:v>45351</c:v>
                </c:pt>
                <c:pt idx="562">
                  <c:v>45350</c:v>
                </c:pt>
                <c:pt idx="563">
                  <c:v>45349</c:v>
                </c:pt>
                <c:pt idx="564">
                  <c:v>45348</c:v>
                </c:pt>
                <c:pt idx="565">
                  <c:v>45345</c:v>
                </c:pt>
                <c:pt idx="566">
                  <c:v>45344</c:v>
                </c:pt>
                <c:pt idx="567">
                  <c:v>45343</c:v>
                </c:pt>
                <c:pt idx="568">
                  <c:v>45342</c:v>
                </c:pt>
                <c:pt idx="569">
                  <c:v>45338</c:v>
                </c:pt>
                <c:pt idx="570">
                  <c:v>45337</c:v>
                </c:pt>
                <c:pt idx="571">
                  <c:v>45336</c:v>
                </c:pt>
                <c:pt idx="572">
                  <c:v>45335</c:v>
                </c:pt>
                <c:pt idx="573">
                  <c:v>45334</c:v>
                </c:pt>
                <c:pt idx="574">
                  <c:v>45331</c:v>
                </c:pt>
                <c:pt idx="575">
                  <c:v>45330</c:v>
                </c:pt>
                <c:pt idx="576">
                  <c:v>45329</c:v>
                </c:pt>
                <c:pt idx="577">
                  <c:v>45328</c:v>
                </c:pt>
                <c:pt idx="578">
                  <c:v>45327</c:v>
                </c:pt>
                <c:pt idx="579">
                  <c:v>45324</c:v>
                </c:pt>
                <c:pt idx="580">
                  <c:v>45323</c:v>
                </c:pt>
                <c:pt idx="581">
                  <c:v>45322</c:v>
                </c:pt>
                <c:pt idx="582">
                  <c:v>45321</c:v>
                </c:pt>
                <c:pt idx="583">
                  <c:v>45320</c:v>
                </c:pt>
                <c:pt idx="584">
                  <c:v>45317</c:v>
                </c:pt>
                <c:pt idx="585">
                  <c:v>45316</c:v>
                </c:pt>
                <c:pt idx="586">
                  <c:v>45315</c:v>
                </c:pt>
                <c:pt idx="587">
                  <c:v>45314</c:v>
                </c:pt>
                <c:pt idx="588">
                  <c:v>45313</c:v>
                </c:pt>
                <c:pt idx="589">
                  <c:v>45310</c:v>
                </c:pt>
                <c:pt idx="590">
                  <c:v>45309</c:v>
                </c:pt>
                <c:pt idx="591">
                  <c:v>45308</c:v>
                </c:pt>
                <c:pt idx="592">
                  <c:v>45307</c:v>
                </c:pt>
                <c:pt idx="593">
                  <c:v>45303</c:v>
                </c:pt>
                <c:pt idx="594">
                  <c:v>45302</c:v>
                </c:pt>
                <c:pt idx="595">
                  <c:v>45301</c:v>
                </c:pt>
                <c:pt idx="596">
                  <c:v>45300</c:v>
                </c:pt>
                <c:pt idx="597">
                  <c:v>45299</c:v>
                </c:pt>
                <c:pt idx="598">
                  <c:v>45296</c:v>
                </c:pt>
                <c:pt idx="599">
                  <c:v>45295</c:v>
                </c:pt>
                <c:pt idx="600">
                  <c:v>45294</c:v>
                </c:pt>
                <c:pt idx="601">
                  <c:v>45293</c:v>
                </c:pt>
                <c:pt idx="602">
                  <c:v>45289</c:v>
                </c:pt>
                <c:pt idx="603">
                  <c:v>45288</c:v>
                </c:pt>
                <c:pt idx="604">
                  <c:v>45287</c:v>
                </c:pt>
                <c:pt idx="605">
                  <c:v>45286</c:v>
                </c:pt>
                <c:pt idx="606">
                  <c:v>45282</c:v>
                </c:pt>
                <c:pt idx="607">
                  <c:v>45281</c:v>
                </c:pt>
                <c:pt idx="608">
                  <c:v>45280</c:v>
                </c:pt>
                <c:pt idx="609">
                  <c:v>45279</c:v>
                </c:pt>
                <c:pt idx="610">
                  <c:v>45278</c:v>
                </c:pt>
                <c:pt idx="611">
                  <c:v>45275</c:v>
                </c:pt>
                <c:pt idx="612">
                  <c:v>45274</c:v>
                </c:pt>
                <c:pt idx="613">
                  <c:v>45273</c:v>
                </c:pt>
                <c:pt idx="614">
                  <c:v>45272</c:v>
                </c:pt>
                <c:pt idx="615">
                  <c:v>45271</c:v>
                </c:pt>
                <c:pt idx="616">
                  <c:v>45268</c:v>
                </c:pt>
                <c:pt idx="617">
                  <c:v>45267</c:v>
                </c:pt>
                <c:pt idx="618">
                  <c:v>45266</c:v>
                </c:pt>
                <c:pt idx="619">
                  <c:v>45265</c:v>
                </c:pt>
                <c:pt idx="620">
                  <c:v>45264</c:v>
                </c:pt>
                <c:pt idx="621">
                  <c:v>45261</c:v>
                </c:pt>
                <c:pt idx="622">
                  <c:v>45260</c:v>
                </c:pt>
                <c:pt idx="623">
                  <c:v>45259</c:v>
                </c:pt>
                <c:pt idx="624">
                  <c:v>45258</c:v>
                </c:pt>
                <c:pt idx="625">
                  <c:v>45257</c:v>
                </c:pt>
                <c:pt idx="626">
                  <c:v>45254</c:v>
                </c:pt>
                <c:pt idx="627">
                  <c:v>45252</c:v>
                </c:pt>
                <c:pt idx="628">
                  <c:v>45251</c:v>
                </c:pt>
                <c:pt idx="629">
                  <c:v>45250</c:v>
                </c:pt>
                <c:pt idx="630">
                  <c:v>45247</c:v>
                </c:pt>
                <c:pt idx="631">
                  <c:v>45246</c:v>
                </c:pt>
                <c:pt idx="632">
                  <c:v>45245</c:v>
                </c:pt>
                <c:pt idx="633">
                  <c:v>45244</c:v>
                </c:pt>
                <c:pt idx="634">
                  <c:v>45243</c:v>
                </c:pt>
                <c:pt idx="635">
                  <c:v>45240</c:v>
                </c:pt>
                <c:pt idx="636">
                  <c:v>45239</c:v>
                </c:pt>
                <c:pt idx="637">
                  <c:v>45238</c:v>
                </c:pt>
                <c:pt idx="638">
                  <c:v>45237</c:v>
                </c:pt>
                <c:pt idx="639">
                  <c:v>45236</c:v>
                </c:pt>
                <c:pt idx="640">
                  <c:v>45233</c:v>
                </c:pt>
                <c:pt idx="641">
                  <c:v>45232</c:v>
                </c:pt>
                <c:pt idx="642">
                  <c:v>45231</c:v>
                </c:pt>
                <c:pt idx="643">
                  <c:v>45230</c:v>
                </c:pt>
                <c:pt idx="644">
                  <c:v>45229</c:v>
                </c:pt>
                <c:pt idx="645">
                  <c:v>45226</c:v>
                </c:pt>
                <c:pt idx="646">
                  <c:v>45225</c:v>
                </c:pt>
                <c:pt idx="647">
                  <c:v>45224</c:v>
                </c:pt>
                <c:pt idx="648">
                  <c:v>45223</c:v>
                </c:pt>
                <c:pt idx="649">
                  <c:v>45222</c:v>
                </c:pt>
                <c:pt idx="650">
                  <c:v>45219</c:v>
                </c:pt>
                <c:pt idx="651">
                  <c:v>45218</c:v>
                </c:pt>
                <c:pt idx="652">
                  <c:v>45217</c:v>
                </c:pt>
                <c:pt idx="653">
                  <c:v>45216</c:v>
                </c:pt>
                <c:pt idx="654">
                  <c:v>45215</c:v>
                </c:pt>
                <c:pt idx="655">
                  <c:v>45212</c:v>
                </c:pt>
                <c:pt idx="656">
                  <c:v>45211</c:v>
                </c:pt>
                <c:pt idx="657">
                  <c:v>45210</c:v>
                </c:pt>
                <c:pt idx="658">
                  <c:v>45209</c:v>
                </c:pt>
                <c:pt idx="659">
                  <c:v>45208</c:v>
                </c:pt>
                <c:pt idx="660">
                  <c:v>45205</c:v>
                </c:pt>
                <c:pt idx="661">
                  <c:v>45204</c:v>
                </c:pt>
                <c:pt idx="662">
                  <c:v>45203</c:v>
                </c:pt>
                <c:pt idx="663">
                  <c:v>45202</c:v>
                </c:pt>
                <c:pt idx="664">
                  <c:v>45201</c:v>
                </c:pt>
                <c:pt idx="665">
                  <c:v>45198</c:v>
                </c:pt>
                <c:pt idx="666">
                  <c:v>45197</c:v>
                </c:pt>
                <c:pt idx="667">
                  <c:v>45196</c:v>
                </c:pt>
                <c:pt idx="668">
                  <c:v>45195</c:v>
                </c:pt>
                <c:pt idx="669">
                  <c:v>45194</c:v>
                </c:pt>
                <c:pt idx="670">
                  <c:v>45191</c:v>
                </c:pt>
                <c:pt idx="671">
                  <c:v>45190</c:v>
                </c:pt>
                <c:pt idx="672">
                  <c:v>45189</c:v>
                </c:pt>
                <c:pt idx="673">
                  <c:v>45188</c:v>
                </c:pt>
                <c:pt idx="674">
                  <c:v>45187</c:v>
                </c:pt>
                <c:pt idx="675">
                  <c:v>45184</c:v>
                </c:pt>
                <c:pt idx="676">
                  <c:v>45183</c:v>
                </c:pt>
                <c:pt idx="677">
                  <c:v>45182</c:v>
                </c:pt>
                <c:pt idx="678">
                  <c:v>45181</c:v>
                </c:pt>
                <c:pt idx="679">
                  <c:v>45180</c:v>
                </c:pt>
                <c:pt idx="680">
                  <c:v>45177</c:v>
                </c:pt>
                <c:pt idx="681">
                  <c:v>45176</c:v>
                </c:pt>
                <c:pt idx="682">
                  <c:v>45175</c:v>
                </c:pt>
                <c:pt idx="683">
                  <c:v>45174</c:v>
                </c:pt>
                <c:pt idx="684">
                  <c:v>45170</c:v>
                </c:pt>
                <c:pt idx="685">
                  <c:v>45169</c:v>
                </c:pt>
                <c:pt idx="686">
                  <c:v>45168</c:v>
                </c:pt>
                <c:pt idx="687">
                  <c:v>45167</c:v>
                </c:pt>
                <c:pt idx="688">
                  <c:v>45166</c:v>
                </c:pt>
                <c:pt idx="689">
                  <c:v>45163</c:v>
                </c:pt>
                <c:pt idx="690">
                  <c:v>45162</c:v>
                </c:pt>
                <c:pt idx="691">
                  <c:v>45161</c:v>
                </c:pt>
                <c:pt idx="692">
                  <c:v>45160</c:v>
                </c:pt>
                <c:pt idx="693">
                  <c:v>45159</c:v>
                </c:pt>
                <c:pt idx="694">
                  <c:v>45156</c:v>
                </c:pt>
                <c:pt idx="695">
                  <c:v>45155</c:v>
                </c:pt>
                <c:pt idx="696">
                  <c:v>45154</c:v>
                </c:pt>
                <c:pt idx="697">
                  <c:v>45153</c:v>
                </c:pt>
                <c:pt idx="698">
                  <c:v>45152</c:v>
                </c:pt>
                <c:pt idx="699">
                  <c:v>45149</c:v>
                </c:pt>
                <c:pt idx="700">
                  <c:v>45148</c:v>
                </c:pt>
                <c:pt idx="701">
                  <c:v>45147</c:v>
                </c:pt>
                <c:pt idx="702">
                  <c:v>45146</c:v>
                </c:pt>
                <c:pt idx="703">
                  <c:v>45145</c:v>
                </c:pt>
                <c:pt idx="704">
                  <c:v>45142</c:v>
                </c:pt>
                <c:pt idx="705">
                  <c:v>45141</c:v>
                </c:pt>
                <c:pt idx="706">
                  <c:v>45140</c:v>
                </c:pt>
                <c:pt idx="707">
                  <c:v>45139</c:v>
                </c:pt>
                <c:pt idx="708">
                  <c:v>45138</c:v>
                </c:pt>
                <c:pt idx="709">
                  <c:v>45135</c:v>
                </c:pt>
                <c:pt idx="710">
                  <c:v>45134</c:v>
                </c:pt>
                <c:pt idx="711">
                  <c:v>45133</c:v>
                </c:pt>
                <c:pt idx="712">
                  <c:v>45132</c:v>
                </c:pt>
                <c:pt idx="713">
                  <c:v>45131</c:v>
                </c:pt>
                <c:pt idx="714">
                  <c:v>45128</c:v>
                </c:pt>
                <c:pt idx="715">
                  <c:v>45127</c:v>
                </c:pt>
                <c:pt idx="716">
                  <c:v>45126</c:v>
                </c:pt>
                <c:pt idx="717">
                  <c:v>45125</c:v>
                </c:pt>
                <c:pt idx="718">
                  <c:v>45124</c:v>
                </c:pt>
                <c:pt idx="719">
                  <c:v>45121</c:v>
                </c:pt>
                <c:pt idx="720">
                  <c:v>45120</c:v>
                </c:pt>
                <c:pt idx="721">
                  <c:v>45119</c:v>
                </c:pt>
                <c:pt idx="722">
                  <c:v>45118</c:v>
                </c:pt>
                <c:pt idx="723">
                  <c:v>45117</c:v>
                </c:pt>
                <c:pt idx="724">
                  <c:v>45114</c:v>
                </c:pt>
                <c:pt idx="725">
                  <c:v>45113</c:v>
                </c:pt>
                <c:pt idx="726">
                  <c:v>45112</c:v>
                </c:pt>
                <c:pt idx="727">
                  <c:v>45110</c:v>
                </c:pt>
                <c:pt idx="728">
                  <c:v>45107</c:v>
                </c:pt>
                <c:pt idx="729">
                  <c:v>45106</c:v>
                </c:pt>
                <c:pt idx="730">
                  <c:v>45105</c:v>
                </c:pt>
                <c:pt idx="731">
                  <c:v>45104</c:v>
                </c:pt>
                <c:pt idx="732">
                  <c:v>45103</c:v>
                </c:pt>
                <c:pt idx="733">
                  <c:v>45100</c:v>
                </c:pt>
                <c:pt idx="734">
                  <c:v>45099</c:v>
                </c:pt>
                <c:pt idx="735">
                  <c:v>45098</c:v>
                </c:pt>
                <c:pt idx="736">
                  <c:v>45097</c:v>
                </c:pt>
                <c:pt idx="737">
                  <c:v>45093</c:v>
                </c:pt>
                <c:pt idx="738">
                  <c:v>45092</c:v>
                </c:pt>
                <c:pt idx="739">
                  <c:v>45091</c:v>
                </c:pt>
                <c:pt idx="740">
                  <c:v>45090</c:v>
                </c:pt>
                <c:pt idx="741">
                  <c:v>45089</c:v>
                </c:pt>
                <c:pt idx="742">
                  <c:v>45086</c:v>
                </c:pt>
                <c:pt idx="743">
                  <c:v>45085</c:v>
                </c:pt>
                <c:pt idx="744">
                  <c:v>45084</c:v>
                </c:pt>
                <c:pt idx="745">
                  <c:v>45083</c:v>
                </c:pt>
                <c:pt idx="746">
                  <c:v>45082</c:v>
                </c:pt>
                <c:pt idx="747">
                  <c:v>45079</c:v>
                </c:pt>
                <c:pt idx="748">
                  <c:v>45078</c:v>
                </c:pt>
                <c:pt idx="749">
                  <c:v>45077</c:v>
                </c:pt>
                <c:pt idx="750">
                  <c:v>45076</c:v>
                </c:pt>
                <c:pt idx="751">
                  <c:v>45072</c:v>
                </c:pt>
                <c:pt idx="752">
                  <c:v>45071</c:v>
                </c:pt>
                <c:pt idx="753">
                  <c:v>45070</c:v>
                </c:pt>
                <c:pt idx="754">
                  <c:v>45069</c:v>
                </c:pt>
                <c:pt idx="755">
                  <c:v>45068</c:v>
                </c:pt>
                <c:pt idx="756">
                  <c:v>45065</c:v>
                </c:pt>
                <c:pt idx="757">
                  <c:v>45064</c:v>
                </c:pt>
                <c:pt idx="758">
                  <c:v>45063</c:v>
                </c:pt>
                <c:pt idx="759">
                  <c:v>45062</c:v>
                </c:pt>
                <c:pt idx="760">
                  <c:v>45061</c:v>
                </c:pt>
                <c:pt idx="761">
                  <c:v>45058</c:v>
                </c:pt>
                <c:pt idx="762">
                  <c:v>45057</c:v>
                </c:pt>
                <c:pt idx="763">
                  <c:v>45056</c:v>
                </c:pt>
                <c:pt idx="764">
                  <c:v>45055</c:v>
                </c:pt>
                <c:pt idx="765">
                  <c:v>45054</c:v>
                </c:pt>
                <c:pt idx="766">
                  <c:v>45051</c:v>
                </c:pt>
                <c:pt idx="767">
                  <c:v>45050</c:v>
                </c:pt>
                <c:pt idx="768">
                  <c:v>45049</c:v>
                </c:pt>
                <c:pt idx="769">
                  <c:v>45048</c:v>
                </c:pt>
                <c:pt idx="770">
                  <c:v>45047</c:v>
                </c:pt>
                <c:pt idx="771">
                  <c:v>45044</c:v>
                </c:pt>
                <c:pt idx="772">
                  <c:v>45043</c:v>
                </c:pt>
                <c:pt idx="773">
                  <c:v>45042</c:v>
                </c:pt>
                <c:pt idx="774">
                  <c:v>45041</c:v>
                </c:pt>
                <c:pt idx="775">
                  <c:v>45040</c:v>
                </c:pt>
                <c:pt idx="776">
                  <c:v>45037</c:v>
                </c:pt>
                <c:pt idx="777">
                  <c:v>45036</c:v>
                </c:pt>
                <c:pt idx="778">
                  <c:v>45035</c:v>
                </c:pt>
                <c:pt idx="779">
                  <c:v>45034</c:v>
                </c:pt>
                <c:pt idx="780">
                  <c:v>45033</c:v>
                </c:pt>
                <c:pt idx="781">
                  <c:v>45030</c:v>
                </c:pt>
                <c:pt idx="782">
                  <c:v>45029</c:v>
                </c:pt>
                <c:pt idx="783">
                  <c:v>45028</c:v>
                </c:pt>
                <c:pt idx="784">
                  <c:v>45027</c:v>
                </c:pt>
                <c:pt idx="785">
                  <c:v>45026</c:v>
                </c:pt>
                <c:pt idx="786">
                  <c:v>45022</c:v>
                </c:pt>
                <c:pt idx="787">
                  <c:v>45021</c:v>
                </c:pt>
                <c:pt idx="788">
                  <c:v>45020</c:v>
                </c:pt>
                <c:pt idx="789">
                  <c:v>45019</c:v>
                </c:pt>
                <c:pt idx="790">
                  <c:v>45016</c:v>
                </c:pt>
                <c:pt idx="791">
                  <c:v>45015</c:v>
                </c:pt>
                <c:pt idx="792">
                  <c:v>45014</c:v>
                </c:pt>
                <c:pt idx="793">
                  <c:v>45013</c:v>
                </c:pt>
                <c:pt idx="794">
                  <c:v>45012</c:v>
                </c:pt>
                <c:pt idx="795">
                  <c:v>45009</c:v>
                </c:pt>
                <c:pt idx="796">
                  <c:v>45008</c:v>
                </c:pt>
                <c:pt idx="797">
                  <c:v>45007</c:v>
                </c:pt>
                <c:pt idx="798">
                  <c:v>45006</c:v>
                </c:pt>
                <c:pt idx="799">
                  <c:v>45005</c:v>
                </c:pt>
                <c:pt idx="800">
                  <c:v>45002</c:v>
                </c:pt>
                <c:pt idx="801">
                  <c:v>45001</c:v>
                </c:pt>
                <c:pt idx="802">
                  <c:v>45000</c:v>
                </c:pt>
                <c:pt idx="803">
                  <c:v>44999</c:v>
                </c:pt>
                <c:pt idx="804">
                  <c:v>44998</c:v>
                </c:pt>
                <c:pt idx="805">
                  <c:v>44995</c:v>
                </c:pt>
                <c:pt idx="806">
                  <c:v>44994</c:v>
                </c:pt>
                <c:pt idx="807">
                  <c:v>44993</c:v>
                </c:pt>
                <c:pt idx="808">
                  <c:v>44992</c:v>
                </c:pt>
                <c:pt idx="809">
                  <c:v>44991</c:v>
                </c:pt>
                <c:pt idx="810">
                  <c:v>44988</c:v>
                </c:pt>
                <c:pt idx="811">
                  <c:v>44987</c:v>
                </c:pt>
                <c:pt idx="812">
                  <c:v>44986</c:v>
                </c:pt>
                <c:pt idx="813">
                  <c:v>44985</c:v>
                </c:pt>
                <c:pt idx="814">
                  <c:v>44984</c:v>
                </c:pt>
                <c:pt idx="815">
                  <c:v>44981</c:v>
                </c:pt>
                <c:pt idx="816">
                  <c:v>44980</c:v>
                </c:pt>
                <c:pt idx="817">
                  <c:v>44979</c:v>
                </c:pt>
                <c:pt idx="818">
                  <c:v>44978</c:v>
                </c:pt>
                <c:pt idx="819">
                  <c:v>44974</c:v>
                </c:pt>
                <c:pt idx="820">
                  <c:v>44973</c:v>
                </c:pt>
                <c:pt idx="821">
                  <c:v>44972</c:v>
                </c:pt>
                <c:pt idx="822">
                  <c:v>44971</c:v>
                </c:pt>
                <c:pt idx="823">
                  <c:v>44970</c:v>
                </c:pt>
                <c:pt idx="824">
                  <c:v>44967</c:v>
                </c:pt>
                <c:pt idx="825">
                  <c:v>44966</c:v>
                </c:pt>
                <c:pt idx="826">
                  <c:v>44965</c:v>
                </c:pt>
                <c:pt idx="827">
                  <c:v>44964</c:v>
                </c:pt>
                <c:pt idx="828">
                  <c:v>44963</c:v>
                </c:pt>
                <c:pt idx="829">
                  <c:v>44960</c:v>
                </c:pt>
                <c:pt idx="830">
                  <c:v>44959</c:v>
                </c:pt>
                <c:pt idx="831">
                  <c:v>44958</c:v>
                </c:pt>
                <c:pt idx="832">
                  <c:v>44957</c:v>
                </c:pt>
                <c:pt idx="833">
                  <c:v>44956</c:v>
                </c:pt>
                <c:pt idx="834">
                  <c:v>44953</c:v>
                </c:pt>
                <c:pt idx="835">
                  <c:v>44952</c:v>
                </c:pt>
                <c:pt idx="836">
                  <c:v>44951</c:v>
                </c:pt>
                <c:pt idx="837">
                  <c:v>44950</c:v>
                </c:pt>
                <c:pt idx="838">
                  <c:v>44949</c:v>
                </c:pt>
                <c:pt idx="839">
                  <c:v>44946</c:v>
                </c:pt>
                <c:pt idx="840">
                  <c:v>44945</c:v>
                </c:pt>
                <c:pt idx="841">
                  <c:v>44944</c:v>
                </c:pt>
                <c:pt idx="842">
                  <c:v>44943</c:v>
                </c:pt>
                <c:pt idx="843">
                  <c:v>44939</c:v>
                </c:pt>
                <c:pt idx="844">
                  <c:v>44938</c:v>
                </c:pt>
                <c:pt idx="845">
                  <c:v>44937</c:v>
                </c:pt>
                <c:pt idx="846">
                  <c:v>44936</c:v>
                </c:pt>
                <c:pt idx="847">
                  <c:v>44935</c:v>
                </c:pt>
                <c:pt idx="848">
                  <c:v>44932</c:v>
                </c:pt>
                <c:pt idx="849">
                  <c:v>44931</c:v>
                </c:pt>
                <c:pt idx="850">
                  <c:v>44930</c:v>
                </c:pt>
                <c:pt idx="851">
                  <c:v>44929</c:v>
                </c:pt>
                <c:pt idx="852">
                  <c:v>44925</c:v>
                </c:pt>
                <c:pt idx="853">
                  <c:v>44924</c:v>
                </c:pt>
                <c:pt idx="854">
                  <c:v>44923</c:v>
                </c:pt>
                <c:pt idx="855">
                  <c:v>44922</c:v>
                </c:pt>
                <c:pt idx="856">
                  <c:v>44918</c:v>
                </c:pt>
                <c:pt idx="857">
                  <c:v>44917</c:v>
                </c:pt>
                <c:pt idx="858">
                  <c:v>44916</c:v>
                </c:pt>
                <c:pt idx="859">
                  <c:v>44915</c:v>
                </c:pt>
                <c:pt idx="860">
                  <c:v>44914</c:v>
                </c:pt>
                <c:pt idx="861">
                  <c:v>44911</c:v>
                </c:pt>
                <c:pt idx="862">
                  <c:v>44910</c:v>
                </c:pt>
                <c:pt idx="863">
                  <c:v>44909</c:v>
                </c:pt>
                <c:pt idx="864">
                  <c:v>44908</c:v>
                </c:pt>
                <c:pt idx="865">
                  <c:v>44907</c:v>
                </c:pt>
                <c:pt idx="866">
                  <c:v>44904</c:v>
                </c:pt>
                <c:pt idx="867">
                  <c:v>44903</c:v>
                </c:pt>
                <c:pt idx="868">
                  <c:v>44902</c:v>
                </c:pt>
                <c:pt idx="869">
                  <c:v>44901</c:v>
                </c:pt>
                <c:pt idx="870">
                  <c:v>44900</c:v>
                </c:pt>
                <c:pt idx="871">
                  <c:v>44897</c:v>
                </c:pt>
                <c:pt idx="872">
                  <c:v>44896</c:v>
                </c:pt>
                <c:pt idx="873">
                  <c:v>44895</c:v>
                </c:pt>
                <c:pt idx="874">
                  <c:v>44894</c:v>
                </c:pt>
                <c:pt idx="875">
                  <c:v>44893</c:v>
                </c:pt>
                <c:pt idx="876">
                  <c:v>44890</c:v>
                </c:pt>
                <c:pt idx="877">
                  <c:v>44888</c:v>
                </c:pt>
                <c:pt idx="878">
                  <c:v>44887</c:v>
                </c:pt>
                <c:pt idx="879">
                  <c:v>44886</c:v>
                </c:pt>
                <c:pt idx="880">
                  <c:v>44883</c:v>
                </c:pt>
                <c:pt idx="881">
                  <c:v>44882</c:v>
                </c:pt>
                <c:pt idx="882">
                  <c:v>44881</c:v>
                </c:pt>
                <c:pt idx="883">
                  <c:v>44880</c:v>
                </c:pt>
                <c:pt idx="884">
                  <c:v>44879</c:v>
                </c:pt>
                <c:pt idx="885">
                  <c:v>44876</c:v>
                </c:pt>
                <c:pt idx="886">
                  <c:v>44875</c:v>
                </c:pt>
                <c:pt idx="887">
                  <c:v>44874</c:v>
                </c:pt>
                <c:pt idx="888">
                  <c:v>44873</c:v>
                </c:pt>
                <c:pt idx="889">
                  <c:v>44872</c:v>
                </c:pt>
                <c:pt idx="890">
                  <c:v>44869</c:v>
                </c:pt>
                <c:pt idx="891">
                  <c:v>44868</c:v>
                </c:pt>
                <c:pt idx="892">
                  <c:v>44867</c:v>
                </c:pt>
                <c:pt idx="893">
                  <c:v>44866</c:v>
                </c:pt>
                <c:pt idx="894">
                  <c:v>44865</c:v>
                </c:pt>
                <c:pt idx="895">
                  <c:v>44862</c:v>
                </c:pt>
                <c:pt idx="896">
                  <c:v>44861</c:v>
                </c:pt>
                <c:pt idx="897">
                  <c:v>44860</c:v>
                </c:pt>
                <c:pt idx="898">
                  <c:v>44859</c:v>
                </c:pt>
                <c:pt idx="899">
                  <c:v>44858</c:v>
                </c:pt>
                <c:pt idx="900">
                  <c:v>44855</c:v>
                </c:pt>
                <c:pt idx="901">
                  <c:v>44854</c:v>
                </c:pt>
                <c:pt idx="902">
                  <c:v>44853</c:v>
                </c:pt>
                <c:pt idx="903">
                  <c:v>44852</c:v>
                </c:pt>
                <c:pt idx="904">
                  <c:v>44851</c:v>
                </c:pt>
                <c:pt idx="905">
                  <c:v>44848</c:v>
                </c:pt>
                <c:pt idx="906">
                  <c:v>44847</c:v>
                </c:pt>
                <c:pt idx="907">
                  <c:v>44846</c:v>
                </c:pt>
                <c:pt idx="908">
                  <c:v>44845</c:v>
                </c:pt>
                <c:pt idx="909">
                  <c:v>44844</c:v>
                </c:pt>
                <c:pt idx="910">
                  <c:v>44841</c:v>
                </c:pt>
                <c:pt idx="911">
                  <c:v>44840</c:v>
                </c:pt>
                <c:pt idx="912">
                  <c:v>44839</c:v>
                </c:pt>
                <c:pt idx="913">
                  <c:v>44838</c:v>
                </c:pt>
                <c:pt idx="914">
                  <c:v>44837</c:v>
                </c:pt>
                <c:pt idx="915">
                  <c:v>44834</c:v>
                </c:pt>
                <c:pt idx="916">
                  <c:v>44833</c:v>
                </c:pt>
                <c:pt idx="917">
                  <c:v>44832</c:v>
                </c:pt>
                <c:pt idx="918">
                  <c:v>44831</c:v>
                </c:pt>
                <c:pt idx="919">
                  <c:v>44830</c:v>
                </c:pt>
                <c:pt idx="920">
                  <c:v>44827</c:v>
                </c:pt>
                <c:pt idx="921">
                  <c:v>44826</c:v>
                </c:pt>
                <c:pt idx="922">
                  <c:v>44825</c:v>
                </c:pt>
                <c:pt idx="923">
                  <c:v>44824</c:v>
                </c:pt>
                <c:pt idx="924">
                  <c:v>44823</c:v>
                </c:pt>
                <c:pt idx="925">
                  <c:v>44820</c:v>
                </c:pt>
                <c:pt idx="926">
                  <c:v>44819</c:v>
                </c:pt>
                <c:pt idx="927">
                  <c:v>44818</c:v>
                </c:pt>
                <c:pt idx="928">
                  <c:v>44817</c:v>
                </c:pt>
                <c:pt idx="929">
                  <c:v>44816</c:v>
                </c:pt>
                <c:pt idx="930">
                  <c:v>44813</c:v>
                </c:pt>
                <c:pt idx="931">
                  <c:v>44812</c:v>
                </c:pt>
                <c:pt idx="932">
                  <c:v>44811</c:v>
                </c:pt>
                <c:pt idx="933">
                  <c:v>44810</c:v>
                </c:pt>
                <c:pt idx="934">
                  <c:v>44806</c:v>
                </c:pt>
                <c:pt idx="935">
                  <c:v>44805</c:v>
                </c:pt>
                <c:pt idx="936">
                  <c:v>44804</c:v>
                </c:pt>
                <c:pt idx="937">
                  <c:v>44803</c:v>
                </c:pt>
                <c:pt idx="938">
                  <c:v>44802</c:v>
                </c:pt>
                <c:pt idx="939">
                  <c:v>44799</c:v>
                </c:pt>
                <c:pt idx="940">
                  <c:v>44798</c:v>
                </c:pt>
                <c:pt idx="941">
                  <c:v>44797</c:v>
                </c:pt>
                <c:pt idx="942">
                  <c:v>44796</c:v>
                </c:pt>
                <c:pt idx="943">
                  <c:v>44795</c:v>
                </c:pt>
                <c:pt idx="944">
                  <c:v>44792</c:v>
                </c:pt>
                <c:pt idx="945">
                  <c:v>44791</c:v>
                </c:pt>
                <c:pt idx="946">
                  <c:v>44790</c:v>
                </c:pt>
                <c:pt idx="947">
                  <c:v>44789</c:v>
                </c:pt>
                <c:pt idx="948">
                  <c:v>44788</c:v>
                </c:pt>
                <c:pt idx="949">
                  <c:v>44785</c:v>
                </c:pt>
                <c:pt idx="950">
                  <c:v>44784</c:v>
                </c:pt>
                <c:pt idx="951">
                  <c:v>44783</c:v>
                </c:pt>
                <c:pt idx="952">
                  <c:v>44782</c:v>
                </c:pt>
                <c:pt idx="953">
                  <c:v>44781</c:v>
                </c:pt>
                <c:pt idx="954">
                  <c:v>44778</c:v>
                </c:pt>
                <c:pt idx="955">
                  <c:v>44777</c:v>
                </c:pt>
                <c:pt idx="956">
                  <c:v>44776</c:v>
                </c:pt>
                <c:pt idx="957">
                  <c:v>44775</c:v>
                </c:pt>
                <c:pt idx="958">
                  <c:v>44774</c:v>
                </c:pt>
                <c:pt idx="959">
                  <c:v>44771</c:v>
                </c:pt>
                <c:pt idx="960">
                  <c:v>44770</c:v>
                </c:pt>
                <c:pt idx="961">
                  <c:v>44769</c:v>
                </c:pt>
                <c:pt idx="962">
                  <c:v>44768</c:v>
                </c:pt>
                <c:pt idx="963">
                  <c:v>44767</c:v>
                </c:pt>
                <c:pt idx="964">
                  <c:v>44764</c:v>
                </c:pt>
                <c:pt idx="965">
                  <c:v>44763</c:v>
                </c:pt>
                <c:pt idx="966">
                  <c:v>44762</c:v>
                </c:pt>
                <c:pt idx="967">
                  <c:v>44761</c:v>
                </c:pt>
                <c:pt idx="968">
                  <c:v>44760</c:v>
                </c:pt>
                <c:pt idx="969">
                  <c:v>44757</c:v>
                </c:pt>
                <c:pt idx="970">
                  <c:v>44756</c:v>
                </c:pt>
                <c:pt idx="971">
                  <c:v>44755</c:v>
                </c:pt>
                <c:pt idx="972">
                  <c:v>44754</c:v>
                </c:pt>
                <c:pt idx="973">
                  <c:v>44753</c:v>
                </c:pt>
                <c:pt idx="974">
                  <c:v>44750</c:v>
                </c:pt>
                <c:pt idx="975">
                  <c:v>44749</c:v>
                </c:pt>
                <c:pt idx="976">
                  <c:v>44748</c:v>
                </c:pt>
                <c:pt idx="977">
                  <c:v>44747</c:v>
                </c:pt>
                <c:pt idx="978">
                  <c:v>44743</c:v>
                </c:pt>
                <c:pt idx="979">
                  <c:v>44742</c:v>
                </c:pt>
                <c:pt idx="980">
                  <c:v>44741</c:v>
                </c:pt>
                <c:pt idx="981">
                  <c:v>44740</c:v>
                </c:pt>
                <c:pt idx="982">
                  <c:v>44739</c:v>
                </c:pt>
                <c:pt idx="983">
                  <c:v>44736</c:v>
                </c:pt>
                <c:pt idx="984">
                  <c:v>44735</c:v>
                </c:pt>
                <c:pt idx="985">
                  <c:v>44734</c:v>
                </c:pt>
                <c:pt idx="986">
                  <c:v>44733</c:v>
                </c:pt>
                <c:pt idx="987">
                  <c:v>44729</c:v>
                </c:pt>
                <c:pt idx="988">
                  <c:v>44728</c:v>
                </c:pt>
                <c:pt idx="989">
                  <c:v>44727</c:v>
                </c:pt>
                <c:pt idx="990">
                  <c:v>44726</c:v>
                </c:pt>
                <c:pt idx="991">
                  <c:v>44725</c:v>
                </c:pt>
                <c:pt idx="992">
                  <c:v>44722</c:v>
                </c:pt>
                <c:pt idx="993">
                  <c:v>44721</c:v>
                </c:pt>
                <c:pt idx="994">
                  <c:v>44720</c:v>
                </c:pt>
                <c:pt idx="995">
                  <c:v>44719</c:v>
                </c:pt>
                <c:pt idx="996">
                  <c:v>44718</c:v>
                </c:pt>
                <c:pt idx="997">
                  <c:v>44715</c:v>
                </c:pt>
                <c:pt idx="998">
                  <c:v>44714</c:v>
                </c:pt>
                <c:pt idx="999">
                  <c:v>44713</c:v>
                </c:pt>
                <c:pt idx="1000">
                  <c:v>44712</c:v>
                </c:pt>
                <c:pt idx="1001">
                  <c:v>44708</c:v>
                </c:pt>
                <c:pt idx="1002">
                  <c:v>44707</c:v>
                </c:pt>
                <c:pt idx="1003">
                  <c:v>44706</c:v>
                </c:pt>
                <c:pt idx="1004">
                  <c:v>44705</c:v>
                </c:pt>
                <c:pt idx="1005">
                  <c:v>44704</c:v>
                </c:pt>
                <c:pt idx="1006">
                  <c:v>44701</c:v>
                </c:pt>
                <c:pt idx="1007">
                  <c:v>44700</c:v>
                </c:pt>
                <c:pt idx="1008">
                  <c:v>44699</c:v>
                </c:pt>
                <c:pt idx="1009">
                  <c:v>44698</c:v>
                </c:pt>
                <c:pt idx="1010">
                  <c:v>44697</c:v>
                </c:pt>
                <c:pt idx="1011">
                  <c:v>44694</c:v>
                </c:pt>
                <c:pt idx="1012">
                  <c:v>44693</c:v>
                </c:pt>
                <c:pt idx="1013">
                  <c:v>44692</c:v>
                </c:pt>
                <c:pt idx="1014">
                  <c:v>44691</c:v>
                </c:pt>
                <c:pt idx="1015">
                  <c:v>44690</c:v>
                </c:pt>
                <c:pt idx="1016">
                  <c:v>44687</c:v>
                </c:pt>
                <c:pt idx="1017">
                  <c:v>44686</c:v>
                </c:pt>
                <c:pt idx="1018">
                  <c:v>44685</c:v>
                </c:pt>
                <c:pt idx="1019">
                  <c:v>44684</c:v>
                </c:pt>
                <c:pt idx="1020">
                  <c:v>44683</c:v>
                </c:pt>
                <c:pt idx="1021">
                  <c:v>44680</c:v>
                </c:pt>
                <c:pt idx="1022">
                  <c:v>44679</c:v>
                </c:pt>
                <c:pt idx="1023">
                  <c:v>44678</c:v>
                </c:pt>
                <c:pt idx="1024">
                  <c:v>44677</c:v>
                </c:pt>
                <c:pt idx="1025">
                  <c:v>44676</c:v>
                </c:pt>
                <c:pt idx="1026">
                  <c:v>44673</c:v>
                </c:pt>
                <c:pt idx="1027">
                  <c:v>44672</c:v>
                </c:pt>
                <c:pt idx="1028">
                  <c:v>44671</c:v>
                </c:pt>
                <c:pt idx="1029">
                  <c:v>44670</c:v>
                </c:pt>
                <c:pt idx="1030">
                  <c:v>44669</c:v>
                </c:pt>
                <c:pt idx="1031">
                  <c:v>44665</c:v>
                </c:pt>
                <c:pt idx="1032">
                  <c:v>44664</c:v>
                </c:pt>
                <c:pt idx="1033">
                  <c:v>44663</c:v>
                </c:pt>
                <c:pt idx="1034">
                  <c:v>44662</c:v>
                </c:pt>
                <c:pt idx="1035">
                  <c:v>44659</c:v>
                </c:pt>
                <c:pt idx="1036">
                  <c:v>44658</c:v>
                </c:pt>
                <c:pt idx="1037">
                  <c:v>44657</c:v>
                </c:pt>
                <c:pt idx="1038">
                  <c:v>44656</c:v>
                </c:pt>
                <c:pt idx="1039">
                  <c:v>44655</c:v>
                </c:pt>
                <c:pt idx="1040">
                  <c:v>44652</c:v>
                </c:pt>
                <c:pt idx="1041">
                  <c:v>44651</c:v>
                </c:pt>
                <c:pt idx="1042">
                  <c:v>44650</c:v>
                </c:pt>
                <c:pt idx="1043">
                  <c:v>44649</c:v>
                </c:pt>
                <c:pt idx="1044">
                  <c:v>44648</c:v>
                </c:pt>
                <c:pt idx="1045">
                  <c:v>44645</c:v>
                </c:pt>
                <c:pt idx="1046">
                  <c:v>44644</c:v>
                </c:pt>
                <c:pt idx="1047">
                  <c:v>44643</c:v>
                </c:pt>
                <c:pt idx="1048">
                  <c:v>44642</c:v>
                </c:pt>
                <c:pt idx="1049">
                  <c:v>44641</c:v>
                </c:pt>
                <c:pt idx="1050">
                  <c:v>44638</c:v>
                </c:pt>
                <c:pt idx="1051">
                  <c:v>44637</c:v>
                </c:pt>
                <c:pt idx="1052">
                  <c:v>44636</c:v>
                </c:pt>
                <c:pt idx="1053">
                  <c:v>44635</c:v>
                </c:pt>
                <c:pt idx="1054">
                  <c:v>44634</c:v>
                </c:pt>
                <c:pt idx="1055">
                  <c:v>44631</c:v>
                </c:pt>
                <c:pt idx="1056">
                  <c:v>44630</c:v>
                </c:pt>
                <c:pt idx="1057">
                  <c:v>44629</c:v>
                </c:pt>
                <c:pt idx="1058">
                  <c:v>44628</c:v>
                </c:pt>
                <c:pt idx="1059">
                  <c:v>44627</c:v>
                </c:pt>
                <c:pt idx="1060">
                  <c:v>44624</c:v>
                </c:pt>
                <c:pt idx="1061">
                  <c:v>44623</c:v>
                </c:pt>
                <c:pt idx="1062">
                  <c:v>44622</c:v>
                </c:pt>
                <c:pt idx="1063">
                  <c:v>44621</c:v>
                </c:pt>
                <c:pt idx="1064">
                  <c:v>44620</c:v>
                </c:pt>
                <c:pt idx="1065">
                  <c:v>44617</c:v>
                </c:pt>
                <c:pt idx="1066">
                  <c:v>44616</c:v>
                </c:pt>
                <c:pt idx="1067">
                  <c:v>44615</c:v>
                </c:pt>
                <c:pt idx="1068">
                  <c:v>44614</c:v>
                </c:pt>
                <c:pt idx="1069">
                  <c:v>44610</c:v>
                </c:pt>
                <c:pt idx="1070">
                  <c:v>44609</c:v>
                </c:pt>
                <c:pt idx="1071">
                  <c:v>44608</c:v>
                </c:pt>
                <c:pt idx="1072">
                  <c:v>44607</c:v>
                </c:pt>
                <c:pt idx="1073">
                  <c:v>44606</c:v>
                </c:pt>
                <c:pt idx="1074">
                  <c:v>44603</c:v>
                </c:pt>
                <c:pt idx="1075">
                  <c:v>44602</c:v>
                </c:pt>
                <c:pt idx="1076">
                  <c:v>44601</c:v>
                </c:pt>
                <c:pt idx="1077">
                  <c:v>44600</c:v>
                </c:pt>
                <c:pt idx="1078">
                  <c:v>44599</c:v>
                </c:pt>
                <c:pt idx="1079">
                  <c:v>44596</c:v>
                </c:pt>
                <c:pt idx="1080">
                  <c:v>44595</c:v>
                </c:pt>
                <c:pt idx="1081">
                  <c:v>44594</c:v>
                </c:pt>
                <c:pt idx="1082">
                  <c:v>44593</c:v>
                </c:pt>
                <c:pt idx="1083">
                  <c:v>44592</c:v>
                </c:pt>
                <c:pt idx="1084">
                  <c:v>44589</c:v>
                </c:pt>
                <c:pt idx="1085">
                  <c:v>44588</c:v>
                </c:pt>
                <c:pt idx="1086">
                  <c:v>44587</c:v>
                </c:pt>
                <c:pt idx="1087">
                  <c:v>44586</c:v>
                </c:pt>
                <c:pt idx="1088">
                  <c:v>44585</c:v>
                </c:pt>
                <c:pt idx="1089">
                  <c:v>44582</c:v>
                </c:pt>
                <c:pt idx="1090">
                  <c:v>44581</c:v>
                </c:pt>
                <c:pt idx="1091">
                  <c:v>44580</c:v>
                </c:pt>
                <c:pt idx="1092">
                  <c:v>44579</c:v>
                </c:pt>
                <c:pt idx="1093">
                  <c:v>44575</c:v>
                </c:pt>
                <c:pt idx="1094">
                  <c:v>44574</c:v>
                </c:pt>
                <c:pt idx="1095">
                  <c:v>44573</c:v>
                </c:pt>
                <c:pt idx="1096">
                  <c:v>44572</c:v>
                </c:pt>
                <c:pt idx="1097">
                  <c:v>44571</c:v>
                </c:pt>
                <c:pt idx="1098">
                  <c:v>44568</c:v>
                </c:pt>
                <c:pt idx="1099">
                  <c:v>44567</c:v>
                </c:pt>
                <c:pt idx="1100">
                  <c:v>44566</c:v>
                </c:pt>
                <c:pt idx="1101">
                  <c:v>44565</c:v>
                </c:pt>
                <c:pt idx="1102">
                  <c:v>44564</c:v>
                </c:pt>
                <c:pt idx="1103">
                  <c:v>44561</c:v>
                </c:pt>
                <c:pt idx="1104">
                  <c:v>44560</c:v>
                </c:pt>
                <c:pt idx="1105">
                  <c:v>44559</c:v>
                </c:pt>
                <c:pt idx="1106">
                  <c:v>44558</c:v>
                </c:pt>
                <c:pt idx="1107">
                  <c:v>44557</c:v>
                </c:pt>
                <c:pt idx="1108">
                  <c:v>44553</c:v>
                </c:pt>
                <c:pt idx="1109">
                  <c:v>44552</c:v>
                </c:pt>
                <c:pt idx="1110">
                  <c:v>44551</c:v>
                </c:pt>
                <c:pt idx="1111">
                  <c:v>44550</c:v>
                </c:pt>
                <c:pt idx="1112">
                  <c:v>44547</c:v>
                </c:pt>
                <c:pt idx="1113">
                  <c:v>44546</c:v>
                </c:pt>
                <c:pt idx="1114">
                  <c:v>44545</c:v>
                </c:pt>
                <c:pt idx="1115">
                  <c:v>44544</c:v>
                </c:pt>
                <c:pt idx="1116">
                  <c:v>44543</c:v>
                </c:pt>
                <c:pt idx="1117">
                  <c:v>44540</c:v>
                </c:pt>
                <c:pt idx="1118">
                  <c:v>44539</c:v>
                </c:pt>
                <c:pt idx="1119">
                  <c:v>44538</c:v>
                </c:pt>
                <c:pt idx="1120">
                  <c:v>44537</c:v>
                </c:pt>
                <c:pt idx="1121">
                  <c:v>44536</c:v>
                </c:pt>
                <c:pt idx="1122">
                  <c:v>44533</c:v>
                </c:pt>
                <c:pt idx="1123">
                  <c:v>44532</c:v>
                </c:pt>
                <c:pt idx="1124">
                  <c:v>44531</c:v>
                </c:pt>
                <c:pt idx="1125">
                  <c:v>44530</c:v>
                </c:pt>
                <c:pt idx="1126">
                  <c:v>44529</c:v>
                </c:pt>
                <c:pt idx="1127">
                  <c:v>44526</c:v>
                </c:pt>
                <c:pt idx="1128">
                  <c:v>44524</c:v>
                </c:pt>
                <c:pt idx="1129">
                  <c:v>44523</c:v>
                </c:pt>
                <c:pt idx="1130">
                  <c:v>44522</c:v>
                </c:pt>
                <c:pt idx="1131">
                  <c:v>44519</c:v>
                </c:pt>
                <c:pt idx="1132">
                  <c:v>44518</c:v>
                </c:pt>
                <c:pt idx="1133">
                  <c:v>44517</c:v>
                </c:pt>
                <c:pt idx="1134">
                  <c:v>44516</c:v>
                </c:pt>
                <c:pt idx="1135">
                  <c:v>44515</c:v>
                </c:pt>
                <c:pt idx="1136">
                  <c:v>44512</c:v>
                </c:pt>
                <c:pt idx="1137">
                  <c:v>44511</c:v>
                </c:pt>
                <c:pt idx="1138">
                  <c:v>44510</c:v>
                </c:pt>
                <c:pt idx="1139">
                  <c:v>44509</c:v>
                </c:pt>
                <c:pt idx="1140">
                  <c:v>44508</c:v>
                </c:pt>
                <c:pt idx="1141">
                  <c:v>44505</c:v>
                </c:pt>
                <c:pt idx="1142">
                  <c:v>44504</c:v>
                </c:pt>
                <c:pt idx="1143">
                  <c:v>44503</c:v>
                </c:pt>
                <c:pt idx="1144">
                  <c:v>44502</c:v>
                </c:pt>
                <c:pt idx="1145">
                  <c:v>44501</c:v>
                </c:pt>
                <c:pt idx="1146">
                  <c:v>44498</c:v>
                </c:pt>
                <c:pt idx="1147">
                  <c:v>44497</c:v>
                </c:pt>
                <c:pt idx="1148">
                  <c:v>44496</c:v>
                </c:pt>
                <c:pt idx="1149">
                  <c:v>44495</c:v>
                </c:pt>
                <c:pt idx="1150">
                  <c:v>44494</c:v>
                </c:pt>
                <c:pt idx="1151">
                  <c:v>44491</c:v>
                </c:pt>
                <c:pt idx="1152">
                  <c:v>44490</c:v>
                </c:pt>
                <c:pt idx="1153">
                  <c:v>44489</c:v>
                </c:pt>
                <c:pt idx="1154">
                  <c:v>44488</c:v>
                </c:pt>
                <c:pt idx="1155">
                  <c:v>44487</c:v>
                </c:pt>
                <c:pt idx="1156">
                  <c:v>44484</c:v>
                </c:pt>
                <c:pt idx="1157">
                  <c:v>44483</c:v>
                </c:pt>
                <c:pt idx="1158">
                  <c:v>44482</c:v>
                </c:pt>
                <c:pt idx="1159">
                  <c:v>44481</c:v>
                </c:pt>
                <c:pt idx="1160">
                  <c:v>44480</c:v>
                </c:pt>
                <c:pt idx="1161">
                  <c:v>44477</c:v>
                </c:pt>
                <c:pt idx="1162">
                  <c:v>44476</c:v>
                </c:pt>
                <c:pt idx="1163">
                  <c:v>44475</c:v>
                </c:pt>
                <c:pt idx="1164">
                  <c:v>44474</c:v>
                </c:pt>
                <c:pt idx="1165">
                  <c:v>44473</c:v>
                </c:pt>
                <c:pt idx="1166">
                  <c:v>44470</c:v>
                </c:pt>
                <c:pt idx="1167">
                  <c:v>44469</c:v>
                </c:pt>
                <c:pt idx="1168">
                  <c:v>44468</c:v>
                </c:pt>
                <c:pt idx="1169">
                  <c:v>44467</c:v>
                </c:pt>
                <c:pt idx="1170">
                  <c:v>44466</c:v>
                </c:pt>
                <c:pt idx="1171">
                  <c:v>44463</c:v>
                </c:pt>
                <c:pt idx="1172">
                  <c:v>44462</c:v>
                </c:pt>
                <c:pt idx="1173">
                  <c:v>44461</c:v>
                </c:pt>
                <c:pt idx="1174">
                  <c:v>44460</c:v>
                </c:pt>
                <c:pt idx="1175">
                  <c:v>44459</c:v>
                </c:pt>
                <c:pt idx="1176">
                  <c:v>44456</c:v>
                </c:pt>
                <c:pt idx="1177">
                  <c:v>44455</c:v>
                </c:pt>
                <c:pt idx="1178">
                  <c:v>44454</c:v>
                </c:pt>
                <c:pt idx="1179">
                  <c:v>44453</c:v>
                </c:pt>
                <c:pt idx="1180">
                  <c:v>44452</c:v>
                </c:pt>
                <c:pt idx="1181">
                  <c:v>44449</c:v>
                </c:pt>
                <c:pt idx="1182">
                  <c:v>44448</c:v>
                </c:pt>
                <c:pt idx="1183">
                  <c:v>44447</c:v>
                </c:pt>
                <c:pt idx="1184">
                  <c:v>44446</c:v>
                </c:pt>
                <c:pt idx="1185">
                  <c:v>44442</c:v>
                </c:pt>
                <c:pt idx="1186">
                  <c:v>44441</c:v>
                </c:pt>
                <c:pt idx="1187">
                  <c:v>44440</c:v>
                </c:pt>
                <c:pt idx="1188">
                  <c:v>44439</c:v>
                </c:pt>
                <c:pt idx="1189">
                  <c:v>44438</c:v>
                </c:pt>
                <c:pt idx="1190">
                  <c:v>44435</c:v>
                </c:pt>
                <c:pt idx="1191">
                  <c:v>44434</c:v>
                </c:pt>
                <c:pt idx="1192">
                  <c:v>44433</c:v>
                </c:pt>
                <c:pt idx="1193">
                  <c:v>44432</c:v>
                </c:pt>
                <c:pt idx="1194">
                  <c:v>44431</c:v>
                </c:pt>
                <c:pt idx="1195">
                  <c:v>44428</c:v>
                </c:pt>
                <c:pt idx="1196">
                  <c:v>44427</c:v>
                </c:pt>
                <c:pt idx="1197">
                  <c:v>44426</c:v>
                </c:pt>
                <c:pt idx="1198">
                  <c:v>44425</c:v>
                </c:pt>
                <c:pt idx="1199">
                  <c:v>44424</c:v>
                </c:pt>
                <c:pt idx="1200">
                  <c:v>44421</c:v>
                </c:pt>
                <c:pt idx="1201">
                  <c:v>44420</c:v>
                </c:pt>
                <c:pt idx="1202">
                  <c:v>44419</c:v>
                </c:pt>
                <c:pt idx="1203">
                  <c:v>44418</c:v>
                </c:pt>
                <c:pt idx="1204">
                  <c:v>44417</c:v>
                </c:pt>
                <c:pt idx="1205">
                  <c:v>44414</c:v>
                </c:pt>
                <c:pt idx="1206">
                  <c:v>44413</c:v>
                </c:pt>
                <c:pt idx="1207">
                  <c:v>44412</c:v>
                </c:pt>
                <c:pt idx="1208">
                  <c:v>44411</c:v>
                </c:pt>
                <c:pt idx="1209">
                  <c:v>44410</c:v>
                </c:pt>
                <c:pt idx="1210">
                  <c:v>44407</c:v>
                </c:pt>
                <c:pt idx="1211">
                  <c:v>44406</c:v>
                </c:pt>
                <c:pt idx="1212">
                  <c:v>44405</c:v>
                </c:pt>
                <c:pt idx="1213">
                  <c:v>44404</c:v>
                </c:pt>
                <c:pt idx="1214">
                  <c:v>44403</c:v>
                </c:pt>
                <c:pt idx="1215">
                  <c:v>44400</c:v>
                </c:pt>
                <c:pt idx="1216">
                  <c:v>44399</c:v>
                </c:pt>
                <c:pt idx="1217">
                  <c:v>44398</c:v>
                </c:pt>
                <c:pt idx="1218">
                  <c:v>44397</c:v>
                </c:pt>
                <c:pt idx="1219">
                  <c:v>44396</c:v>
                </c:pt>
                <c:pt idx="1220">
                  <c:v>44393</c:v>
                </c:pt>
                <c:pt idx="1221">
                  <c:v>44392</c:v>
                </c:pt>
                <c:pt idx="1222">
                  <c:v>44391</c:v>
                </c:pt>
                <c:pt idx="1223">
                  <c:v>44390</c:v>
                </c:pt>
                <c:pt idx="1224">
                  <c:v>44389</c:v>
                </c:pt>
                <c:pt idx="1225">
                  <c:v>44386</c:v>
                </c:pt>
                <c:pt idx="1226">
                  <c:v>44385</c:v>
                </c:pt>
                <c:pt idx="1227">
                  <c:v>44384</c:v>
                </c:pt>
                <c:pt idx="1228">
                  <c:v>44383</c:v>
                </c:pt>
                <c:pt idx="1229">
                  <c:v>44379</c:v>
                </c:pt>
                <c:pt idx="1230">
                  <c:v>44378</c:v>
                </c:pt>
                <c:pt idx="1231">
                  <c:v>44377</c:v>
                </c:pt>
                <c:pt idx="1232">
                  <c:v>44376</c:v>
                </c:pt>
                <c:pt idx="1233">
                  <c:v>44375</c:v>
                </c:pt>
                <c:pt idx="1234">
                  <c:v>44372</c:v>
                </c:pt>
                <c:pt idx="1235">
                  <c:v>44371</c:v>
                </c:pt>
                <c:pt idx="1236">
                  <c:v>44370</c:v>
                </c:pt>
                <c:pt idx="1237">
                  <c:v>44369</c:v>
                </c:pt>
                <c:pt idx="1238">
                  <c:v>44368</c:v>
                </c:pt>
                <c:pt idx="1239">
                  <c:v>44365</c:v>
                </c:pt>
                <c:pt idx="1240">
                  <c:v>44364</c:v>
                </c:pt>
                <c:pt idx="1241">
                  <c:v>44363</c:v>
                </c:pt>
                <c:pt idx="1242">
                  <c:v>44362</c:v>
                </c:pt>
                <c:pt idx="1243">
                  <c:v>44361</c:v>
                </c:pt>
                <c:pt idx="1244">
                  <c:v>44358</c:v>
                </c:pt>
                <c:pt idx="1245">
                  <c:v>44357</c:v>
                </c:pt>
                <c:pt idx="1246">
                  <c:v>44356</c:v>
                </c:pt>
                <c:pt idx="1247">
                  <c:v>44355</c:v>
                </c:pt>
                <c:pt idx="1248">
                  <c:v>44354</c:v>
                </c:pt>
                <c:pt idx="1249">
                  <c:v>44351</c:v>
                </c:pt>
                <c:pt idx="1250">
                  <c:v>44350</c:v>
                </c:pt>
                <c:pt idx="1251">
                  <c:v>44349</c:v>
                </c:pt>
                <c:pt idx="1252">
                  <c:v>44348</c:v>
                </c:pt>
                <c:pt idx="1253">
                  <c:v>44344</c:v>
                </c:pt>
                <c:pt idx="1254">
                  <c:v>44343</c:v>
                </c:pt>
                <c:pt idx="1255">
                  <c:v>44342</c:v>
                </c:pt>
                <c:pt idx="1256">
                  <c:v>44341</c:v>
                </c:pt>
                <c:pt idx="1257">
                  <c:v>44340</c:v>
                </c:pt>
                <c:pt idx="1258">
                  <c:v>44337</c:v>
                </c:pt>
                <c:pt idx="1259">
                  <c:v>44336</c:v>
                </c:pt>
                <c:pt idx="1260">
                  <c:v>44335</c:v>
                </c:pt>
                <c:pt idx="1261">
                  <c:v>44334</c:v>
                </c:pt>
                <c:pt idx="1262">
                  <c:v>44333</c:v>
                </c:pt>
                <c:pt idx="1263">
                  <c:v>44330</c:v>
                </c:pt>
                <c:pt idx="1264">
                  <c:v>44329</c:v>
                </c:pt>
                <c:pt idx="1265">
                  <c:v>44328</c:v>
                </c:pt>
                <c:pt idx="1266">
                  <c:v>44327</c:v>
                </c:pt>
                <c:pt idx="1267">
                  <c:v>44326</c:v>
                </c:pt>
                <c:pt idx="1268">
                  <c:v>44323</c:v>
                </c:pt>
                <c:pt idx="1269">
                  <c:v>44322</c:v>
                </c:pt>
                <c:pt idx="1270">
                  <c:v>44321</c:v>
                </c:pt>
                <c:pt idx="1271">
                  <c:v>44320</c:v>
                </c:pt>
                <c:pt idx="1272">
                  <c:v>44319</c:v>
                </c:pt>
                <c:pt idx="1273">
                  <c:v>44316</c:v>
                </c:pt>
                <c:pt idx="1274">
                  <c:v>44315</c:v>
                </c:pt>
                <c:pt idx="1275">
                  <c:v>44314</c:v>
                </c:pt>
                <c:pt idx="1276">
                  <c:v>44313</c:v>
                </c:pt>
                <c:pt idx="1277">
                  <c:v>44312</c:v>
                </c:pt>
                <c:pt idx="1278">
                  <c:v>44309</c:v>
                </c:pt>
                <c:pt idx="1279">
                  <c:v>44308</c:v>
                </c:pt>
                <c:pt idx="1280">
                  <c:v>44307</c:v>
                </c:pt>
                <c:pt idx="1281">
                  <c:v>44306</c:v>
                </c:pt>
                <c:pt idx="1282">
                  <c:v>44305</c:v>
                </c:pt>
                <c:pt idx="1283">
                  <c:v>44302</c:v>
                </c:pt>
                <c:pt idx="1284">
                  <c:v>44301</c:v>
                </c:pt>
                <c:pt idx="1285">
                  <c:v>44300</c:v>
                </c:pt>
                <c:pt idx="1286">
                  <c:v>44299</c:v>
                </c:pt>
                <c:pt idx="1287">
                  <c:v>44298</c:v>
                </c:pt>
                <c:pt idx="1288">
                  <c:v>44295</c:v>
                </c:pt>
                <c:pt idx="1289">
                  <c:v>44294</c:v>
                </c:pt>
                <c:pt idx="1290">
                  <c:v>44293</c:v>
                </c:pt>
                <c:pt idx="1291">
                  <c:v>44292</c:v>
                </c:pt>
                <c:pt idx="1292">
                  <c:v>44291</c:v>
                </c:pt>
                <c:pt idx="1293">
                  <c:v>44287</c:v>
                </c:pt>
                <c:pt idx="1294">
                  <c:v>44286</c:v>
                </c:pt>
                <c:pt idx="1295">
                  <c:v>44285</c:v>
                </c:pt>
                <c:pt idx="1296">
                  <c:v>44284</c:v>
                </c:pt>
                <c:pt idx="1297">
                  <c:v>44281</c:v>
                </c:pt>
                <c:pt idx="1298">
                  <c:v>44280</c:v>
                </c:pt>
                <c:pt idx="1299">
                  <c:v>44279</c:v>
                </c:pt>
                <c:pt idx="1300">
                  <c:v>44278</c:v>
                </c:pt>
                <c:pt idx="1301">
                  <c:v>44277</c:v>
                </c:pt>
                <c:pt idx="1302">
                  <c:v>44274</c:v>
                </c:pt>
                <c:pt idx="1303">
                  <c:v>44273</c:v>
                </c:pt>
                <c:pt idx="1304">
                  <c:v>44272</c:v>
                </c:pt>
                <c:pt idx="1305">
                  <c:v>44271</c:v>
                </c:pt>
                <c:pt idx="1306">
                  <c:v>44270</c:v>
                </c:pt>
                <c:pt idx="1307">
                  <c:v>44267</c:v>
                </c:pt>
                <c:pt idx="1308">
                  <c:v>44266</c:v>
                </c:pt>
                <c:pt idx="1309">
                  <c:v>44265</c:v>
                </c:pt>
                <c:pt idx="1310">
                  <c:v>44264</c:v>
                </c:pt>
                <c:pt idx="1311">
                  <c:v>44263</c:v>
                </c:pt>
                <c:pt idx="1312">
                  <c:v>44260</c:v>
                </c:pt>
                <c:pt idx="1313">
                  <c:v>44259</c:v>
                </c:pt>
                <c:pt idx="1314">
                  <c:v>44258</c:v>
                </c:pt>
                <c:pt idx="1315">
                  <c:v>44257</c:v>
                </c:pt>
                <c:pt idx="1316">
                  <c:v>44256</c:v>
                </c:pt>
                <c:pt idx="1317">
                  <c:v>44253</c:v>
                </c:pt>
                <c:pt idx="1318">
                  <c:v>44252</c:v>
                </c:pt>
                <c:pt idx="1319">
                  <c:v>44251</c:v>
                </c:pt>
                <c:pt idx="1320">
                  <c:v>44250</c:v>
                </c:pt>
                <c:pt idx="1321">
                  <c:v>44249</c:v>
                </c:pt>
                <c:pt idx="1322">
                  <c:v>44246</c:v>
                </c:pt>
                <c:pt idx="1323">
                  <c:v>44245</c:v>
                </c:pt>
                <c:pt idx="1324">
                  <c:v>44244</c:v>
                </c:pt>
                <c:pt idx="1325">
                  <c:v>44243</c:v>
                </c:pt>
                <c:pt idx="1326">
                  <c:v>44239</c:v>
                </c:pt>
                <c:pt idx="1327">
                  <c:v>44238</c:v>
                </c:pt>
                <c:pt idx="1328">
                  <c:v>44237</c:v>
                </c:pt>
                <c:pt idx="1329">
                  <c:v>44236</c:v>
                </c:pt>
                <c:pt idx="1330">
                  <c:v>44235</c:v>
                </c:pt>
                <c:pt idx="1331">
                  <c:v>44232</c:v>
                </c:pt>
                <c:pt idx="1332">
                  <c:v>44231</c:v>
                </c:pt>
                <c:pt idx="1333">
                  <c:v>44230</c:v>
                </c:pt>
                <c:pt idx="1334">
                  <c:v>44229</c:v>
                </c:pt>
                <c:pt idx="1335">
                  <c:v>44228</c:v>
                </c:pt>
                <c:pt idx="1336">
                  <c:v>44225</c:v>
                </c:pt>
                <c:pt idx="1337">
                  <c:v>44224</c:v>
                </c:pt>
                <c:pt idx="1338">
                  <c:v>44223</c:v>
                </c:pt>
                <c:pt idx="1339">
                  <c:v>44222</c:v>
                </c:pt>
                <c:pt idx="1340">
                  <c:v>44221</c:v>
                </c:pt>
                <c:pt idx="1341">
                  <c:v>44218</c:v>
                </c:pt>
                <c:pt idx="1342">
                  <c:v>44217</c:v>
                </c:pt>
                <c:pt idx="1343">
                  <c:v>44216</c:v>
                </c:pt>
                <c:pt idx="1344">
                  <c:v>44215</c:v>
                </c:pt>
                <c:pt idx="1345">
                  <c:v>44211</c:v>
                </c:pt>
                <c:pt idx="1346">
                  <c:v>44210</c:v>
                </c:pt>
                <c:pt idx="1347">
                  <c:v>44209</c:v>
                </c:pt>
                <c:pt idx="1348">
                  <c:v>44208</c:v>
                </c:pt>
                <c:pt idx="1349">
                  <c:v>44207</c:v>
                </c:pt>
                <c:pt idx="1350">
                  <c:v>44204</c:v>
                </c:pt>
                <c:pt idx="1351">
                  <c:v>44203</c:v>
                </c:pt>
                <c:pt idx="1352">
                  <c:v>44202</c:v>
                </c:pt>
                <c:pt idx="1353">
                  <c:v>44201</c:v>
                </c:pt>
                <c:pt idx="1354">
                  <c:v>44200</c:v>
                </c:pt>
                <c:pt idx="1355">
                  <c:v>44196</c:v>
                </c:pt>
                <c:pt idx="1356">
                  <c:v>44195</c:v>
                </c:pt>
                <c:pt idx="1357">
                  <c:v>44194</c:v>
                </c:pt>
                <c:pt idx="1358">
                  <c:v>44193</c:v>
                </c:pt>
                <c:pt idx="1359">
                  <c:v>44189</c:v>
                </c:pt>
                <c:pt idx="1360">
                  <c:v>44188</c:v>
                </c:pt>
                <c:pt idx="1361">
                  <c:v>44187</c:v>
                </c:pt>
                <c:pt idx="1362">
                  <c:v>44186</c:v>
                </c:pt>
                <c:pt idx="1363">
                  <c:v>44183</c:v>
                </c:pt>
                <c:pt idx="1364">
                  <c:v>44182</c:v>
                </c:pt>
                <c:pt idx="1365">
                  <c:v>44181</c:v>
                </c:pt>
                <c:pt idx="1366">
                  <c:v>44180</c:v>
                </c:pt>
                <c:pt idx="1367">
                  <c:v>44179</c:v>
                </c:pt>
                <c:pt idx="1368">
                  <c:v>44176</c:v>
                </c:pt>
                <c:pt idx="1369">
                  <c:v>44175</c:v>
                </c:pt>
                <c:pt idx="1370">
                  <c:v>44174</c:v>
                </c:pt>
                <c:pt idx="1371">
                  <c:v>44173</c:v>
                </c:pt>
                <c:pt idx="1372">
                  <c:v>44172</c:v>
                </c:pt>
                <c:pt idx="1373">
                  <c:v>44169</c:v>
                </c:pt>
                <c:pt idx="1374">
                  <c:v>44168</c:v>
                </c:pt>
                <c:pt idx="1375">
                  <c:v>44167</c:v>
                </c:pt>
                <c:pt idx="1376">
                  <c:v>44166</c:v>
                </c:pt>
                <c:pt idx="1377">
                  <c:v>44165</c:v>
                </c:pt>
                <c:pt idx="1378">
                  <c:v>44162</c:v>
                </c:pt>
                <c:pt idx="1379">
                  <c:v>44160</c:v>
                </c:pt>
                <c:pt idx="1380">
                  <c:v>44159</c:v>
                </c:pt>
                <c:pt idx="1381">
                  <c:v>44158</c:v>
                </c:pt>
                <c:pt idx="1382">
                  <c:v>44155</c:v>
                </c:pt>
                <c:pt idx="1383">
                  <c:v>44154</c:v>
                </c:pt>
                <c:pt idx="1384">
                  <c:v>44153</c:v>
                </c:pt>
                <c:pt idx="1385">
                  <c:v>44152</c:v>
                </c:pt>
                <c:pt idx="1386">
                  <c:v>44151</c:v>
                </c:pt>
                <c:pt idx="1387">
                  <c:v>44148</c:v>
                </c:pt>
                <c:pt idx="1388">
                  <c:v>44147</c:v>
                </c:pt>
                <c:pt idx="1389">
                  <c:v>44146</c:v>
                </c:pt>
                <c:pt idx="1390">
                  <c:v>44145</c:v>
                </c:pt>
                <c:pt idx="1391">
                  <c:v>44144</c:v>
                </c:pt>
                <c:pt idx="1392">
                  <c:v>44141</c:v>
                </c:pt>
                <c:pt idx="1393">
                  <c:v>44140</c:v>
                </c:pt>
                <c:pt idx="1394">
                  <c:v>44139</c:v>
                </c:pt>
                <c:pt idx="1395">
                  <c:v>44138</c:v>
                </c:pt>
                <c:pt idx="1396">
                  <c:v>44137</c:v>
                </c:pt>
                <c:pt idx="1397">
                  <c:v>44134</c:v>
                </c:pt>
                <c:pt idx="1398">
                  <c:v>44133</c:v>
                </c:pt>
                <c:pt idx="1399">
                  <c:v>44132</c:v>
                </c:pt>
                <c:pt idx="1400">
                  <c:v>44131</c:v>
                </c:pt>
                <c:pt idx="1401">
                  <c:v>44130</c:v>
                </c:pt>
                <c:pt idx="1402">
                  <c:v>44127</c:v>
                </c:pt>
                <c:pt idx="1403">
                  <c:v>44126</c:v>
                </c:pt>
                <c:pt idx="1404">
                  <c:v>44125</c:v>
                </c:pt>
                <c:pt idx="1405">
                  <c:v>44124</c:v>
                </c:pt>
                <c:pt idx="1406">
                  <c:v>44123</c:v>
                </c:pt>
                <c:pt idx="1407">
                  <c:v>44120</c:v>
                </c:pt>
                <c:pt idx="1408">
                  <c:v>44119</c:v>
                </c:pt>
                <c:pt idx="1409">
                  <c:v>44118</c:v>
                </c:pt>
                <c:pt idx="1410">
                  <c:v>44117</c:v>
                </c:pt>
                <c:pt idx="1411">
                  <c:v>44116</c:v>
                </c:pt>
                <c:pt idx="1412">
                  <c:v>44113</c:v>
                </c:pt>
                <c:pt idx="1413">
                  <c:v>44112</c:v>
                </c:pt>
                <c:pt idx="1414">
                  <c:v>44111</c:v>
                </c:pt>
                <c:pt idx="1415">
                  <c:v>44110</c:v>
                </c:pt>
                <c:pt idx="1416">
                  <c:v>44109</c:v>
                </c:pt>
                <c:pt idx="1417">
                  <c:v>44106</c:v>
                </c:pt>
                <c:pt idx="1418">
                  <c:v>44105</c:v>
                </c:pt>
                <c:pt idx="1419">
                  <c:v>44104</c:v>
                </c:pt>
                <c:pt idx="1420">
                  <c:v>44103</c:v>
                </c:pt>
                <c:pt idx="1421">
                  <c:v>44102</c:v>
                </c:pt>
                <c:pt idx="1422">
                  <c:v>44099</c:v>
                </c:pt>
                <c:pt idx="1423">
                  <c:v>44098</c:v>
                </c:pt>
                <c:pt idx="1424">
                  <c:v>44097</c:v>
                </c:pt>
                <c:pt idx="1425">
                  <c:v>44096</c:v>
                </c:pt>
                <c:pt idx="1426">
                  <c:v>44095</c:v>
                </c:pt>
                <c:pt idx="1427">
                  <c:v>44092</c:v>
                </c:pt>
                <c:pt idx="1428">
                  <c:v>44091</c:v>
                </c:pt>
                <c:pt idx="1429">
                  <c:v>44090</c:v>
                </c:pt>
                <c:pt idx="1430">
                  <c:v>44089</c:v>
                </c:pt>
                <c:pt idx="1431">
                  <c:v>44088</c:v>
                </c:pt>
                <c:pt idx="1432">
                  <c:v>44085</c:v>
                </c:pt>
                <c:pt idx="1433">
                  <c:v>44084</c:v>
                </c:pt>
                <c:pt idx="1434">
                  <c:v>44083</c:v>
                </c:pt>
                <c:pt idx="1435">
                  <c:v>44082</c:v>
                </c:pt>
                <c:pt idx="1436">
                  <c:v>44078</c:v>
                </c:pt>
                <c:pt idx="1437">
                  <c:v>44077</c:v>
                </c:pt>
                <c:pt idx="1438">
                  <c:v>44076</c:v>
                </c:pt>
                <c:pt idx="1439">
                  <c:v>44075</c:v>
                </c:pt>
                <c:pt idx="1440">
                  <c:v>44074</c:v>
                </c:pt>
                <c:pt idx="1441">
                  <c:v>44071</c:v>
                </c:pt>
                <c:pt idx="1442">
                  <c:v>44070</c:v>
                </c:pt>
                <c:pt idx="1443">
                  <c:v>44069</c:v>
                </c:pt>
                <c:pt idx="1444">
                  <c:v>44068</c:v>
                </c:pt>
                <c:pt idx="1445">
                  <c:v>44067</c:v>
                </c:pt>
                <c:pt idx="1446">
                  <c:v>44064</c:v>
                </c:pt>
                <c:pt idx="1447">
                  <c:v>44063</c:v>
                </c:pt>
                <c:pt idx="1448">
                  <c:v>44062</c:v>
                </c:pt>
                <c:pt idx="1449">
                  <c:v>44061</c:v>
                </c:pt>
                <c:pt idx="1450">
                  <c:v>44060</c:v>
                </c:pt>
                <c:pt idx="1451">
                  <c:v>44057</c:v>
                </c:pt>
                <c:pt idx="1452">
                  <c:v>44056</c:v>
                </c:pt>
                <c:pt idx="1453">
                  <c:v>44055</c:v>
                </c:pt>
                <c:pt idx="1454">
                  <c:v>44054</c:v>
                </c:pt>
                <c:pt idx="1455">
                  <c:v>44053</c:v>
                </c:pt>
                <c:pt idx="1456">
                  <c:v>44050</c:v>
                </c:pt>
                <c:pt idx="1457">
                  <c:v>44049</c:v>
                </c:pt>
                <c:pt idx="1458">
                  <c:v>44048</c:v>
                </c:pt>
                <c:pt idx="1459">
                  <c:v>44047</c:v>
                </c:pt>
                <c:pt idx="1460">
                  <c:v>44046</c:v>
                </c:pt>
                <c:pt idx="1461">
                  <c:v>44043</c:v>
                </c:pt>
                <c:pt idx="1462">
                  <c:v>44042</c:v>
                </c:pt>
                <c:pt idx="1463">
                  <c:v>44041</c:v>
                </c:pt>
                <c:pt idx="1464">
                  <c:v>44040</c:v>
                </c:pt>
                <c:pt idx="1465">
                  <c:v>44039</c:v>
                </c:pt>
                <c:pt idx="1466">
                  <c:v>44036</c:v>
                </c:pt>
                <c:pt idx="1467">
                  <c:v>44035</c:v>
                </c:pt>
                <c:pt idx="1468">
                  <c:v>44034</c:v>
                </c:pt>
                <c:pt idx="1469">
                  <c:v>44033</c:v>
                </c:pt>
                <c:pt idx="1470">
                  <c:v>44032</c:v>
                </c:pt>
                <c:pt idx="1471">
                  <c:v>44029</c:v>
                </c:pt>
                <c:pt idx="1472">
                  <c:v>44028</c:v>
                </c:pt>
                <c:pt idx="1473">
                  <c:v>44027</c:v>
                </c:pt>
                <c:pt idx="1474">
                  <c:v>44026</c:v>
                </c:pt>
                <c:pt idx="1475">
                  <c:v>44025</c:v>
                </c:pt>
                <c:pt idx="1476">
                  <c:v>44022</c:v>
                </c:pt>
                <c:pt idx="1477">
                  <c:v>44021</c:v>
                </c:pt>
                <c:pt idx="1478">
                  <c:v>44020</c:v>
                </c:pt>
                <c:pt idx="1479">
                  <c:v>44019</c:v>
                </c:pt>
                <c:pt idx="1480">
                  <c:v>44018</c:v>
                </c:pt>
                <c:pt idx="1481">
                  <c:v>44014</c:v>
                </c:pt>
                <c:pt idx="1482">
                  <c:v>44013</c:v>
                </c:pt>
                <c:pt idx="1483">
                  <c:v>44012</c:v>
                </c:pt>
                <c:pt idx="1484">
                  <c:v>44011</c:v>
                </c:pt>
                <c:pt idx="1485">
                  <c:v>44008</c:v>
                </c:pt>
                <c:pt idx="1486">
                  <c:v>44007</c:v>
                </c:pt>
                <c:pt idx="1487">
                  <c:v>44006</c:v>
                </c:pt>
                <c:pt idx="1488">
                  <c:v>44005</c:v>
                </c:pt>
                <c:pt idx="1489">
                  <c:v>44004</c:v>
                </c:pt>
                <c:pt idx="1490">
                  <c:v>44001</c:v>
                </c:pt>
                <c:pt idx="1491">
                  <c:v>44000</c:v>
                </c:pt>
                <c:pt idx="1492">
                  <c:v>43999</c:v>
                </c:pt>
                <c:pt idx="1493">
                  <c:v>43998</c:v>
                </c:pt>
                <c:pt idx="1494">
                  <c:v>43997</c:v>
                </c:pt>
                <c:pt idx="1495">
                  <c:v>43994</c:v>
                </c:pt>
                <c:pt idx="1496">
                  <c:v>43993</c:v>
                </c:pt>
                <c:pt idx="1497">
                  <c:v>43992</c:v>
                </c:pt>
                <c:pt idx="1498">
                  <c:v>43991</c:v>
                </c:pt>
                <c:pt idx="1499">
                  <c:v>43990</c:v>
                </c:pt>
                <c:pt idx="1500">
                  <c:v>43987</c:v>
                </c:pt>
                <c:pt idx="1501">
                  <c:v>43986</c:v>
                </c:pt>
                <c:pt idx="1502">
                  <c:v>43985</c:v>
                </c:pt>
                <c:pt idx="1503">
                  <c:v>43984</c:v>
                </c:pt>
                <c:pt idx="1504">
                  <c:v>43983</c:v>
                </c:pt>
                <c:pt idx="1505">
                  <c:v>43980</c:v>
                </c:pt>
                <c:pt idx="1506">
                  <c:v>43979</c:v>
                </c:pt>
                <c:pt idx="1507">
                  <c:v>43978</c:v>
                </c:pt>
                <c:pt idx="1508">
                  <c:v>43977</c:v>
                </c:pt>
                <c:pt idx="1509">
                  <c:v>43973</c:v>
                </c:pt>
                <c:pt idx="1510">
                  <c:v>43972</c:v>
                </c:pt>
                <c:pt idx="1511">
                  <c:v>43971</c:v>
                </c:pt>
                <c:pt idx="1512">
                  <c:v>43970</c:v>
                </c:pt>
                <c:pt idx="1513">
                  <c:v>43969</c:v>
                </c:pt>
                <c:pt idx="1514">
                  <c:v>43966</c:v>
                </c:pt>
                <c:pt idx="1515">
                  <c:v>43965</c:v>
                </c:pt>
                <c:pt idx="1516">
                  <c:v>43964</c:v>
                </c:pt>
                <c:pt idx="1517">
                  <c:v>43963</c:v>
                </c:pt>
                <c:pt idx="1518">
                  <c:v>43962</c:v>
                </c:pt>
                <c:pt idx="1519">
                  <c:v>43959</c:v>
                </c:pt>
                <c:pt idx="1520">
                  <c:v>43958</c:v>
                </c:pt>
                <c:pt idx="1521">
                  <c:v>43957</c:v>
                </c:pt>
                <c:pt idx="1522">
                  <c:v>43956</c:v>
                </c:pt>
                <c:pt idx="1523">
                  <c:v>43955</c:v>
                </c:pt>
                <c:pt idx="1524">
                  <c:v>43952</c:v>
                </c:pt>
                <c:pt idx="1525">
                  <c:v>43951</c:v>
                </c:pt>
                <c:pt idx="1526">
                  <c:v>43950</c:v>
                </c:pt>
                <c:pt idx="1527">
                  <c:v>43949</c:v>
                </c:pt>
                <c:pt idx="1528">
                  <c:v>43948</c:v>
                </c:pt>
                <c:pt idx="1529">
                  <c:v>43945</c:v>
                </c:pt>
                <c:pt idx="1530">
                  <c:v>43944</c:v>
                </c:pt>
                <c:pt idx="1531">
                  <c:v>43943</c:v>
                </c:pt>
                <c:pt idx="1532">
                  <c:v>43942</c:v>
                </c:pt>
                <c:pt idx="1533">
                  <c:v>43941</c:v>
                </c:pt>
                <c:pt idx="1534">
                  <c:v>43938</c:v>
                </c:pt>
                <c:pt idx="1535">
                  <c:v>43937</c:v>
                </c:pt>
                <c:pt idx="1536">
                  <c:v>43936</c:v>
                </c:pt>
                <c:pt idx="1537">
                  <c:v>43935</c:v>
                </c:pt>
                <c:pt idx="1538">
                  <c:v>43934</c:v>
                </c:pt>
                <c:pt idx="1539">
                  <c:v>43930</c:v>
                </c:pt>
                <c:pt idx="1540">
                  <c:v>43929</c:v>
                </c:pt>
                <c:pt idx="1541">
                  <c:v>43928</c:v>
                </c:pt>
                <c:pt idx="1542">
                  <c:v>43927</c:v>
                </c:pt>
                <c:pt idx="1543">
                  <c:v>43924</c:v>
                </c:pt>
                <c:pt idx="1544">
                  <c:v>43923</c:v>
                </c:pt>
                <c:pt idx="1545">
                  <c:v>43922</c:v>
                </c:pt>
                <c:pt idx="1546">
                  <c:v>43921</c:v>
                </c:pt>
                <c:pt idx="1547">
                  <c:v>43920</c:v>
                </c:pt>
                <c:pt idx="1548">
                  <c:v>43917</c:v>
                </c:pt>
                <c:pt idx="1549">
                  <c:v>43916</c:v>
                </c:pt>
                <c:pt idx="1550">
                  <c:v>43915</c:v>
                </c:pt>
                <c:pt idx="1551">
                  <c:v>43914</c:v>
                </c:pt>
                <c:pt idx="1552">
                  <c:v>43913</c:v>
                </c:pt>
                <c:pt idx="1553">
                  <c:v>43910</c:v>
                </c:pt>
                <c:pt idx="1554">
                  <c:v>43909</c:v>
                </c:pt>
                <c:pt idx="1555">
                  <c:v>43908</c:v>
                </c:pt>
                <c:pt idx="1556">
                  <c:v>43907</c:v>
                </c:pt>
                <c:pt idx="1557">
                  <c:v>43906</c:v>
                </c:pt>
                <c:pt idx="1558">
                  <c:v>43903</c:v>
                </c:pt>
                <c:pt idx="1559">
                  <c:v>43902</c:v>
                </c:pt>
                <c:pt idx="1560">
                  <c:v>43901</c:v>
                </c:pt>
                <c:pt idx="1561">
                  <c:v>43900</c:v>
                </c:pt>
                <c:pt idx="1562">
                  <c:v>43899</c:v>
                </c:pt>
                <c:pt idx="1563">
                  <c:v>43896</c:v>
                </c:pt>
                <c:pt idx="1564">
                  <c:v>43895</c:v>
                </c:pt>
                <c:pt idx="1565">
                  <c:v>43894</c:v>
                </c:pt>
                <c:pt idx="1566">
                  <c:v>43893</c:v>
                </c:pt>
                <c:pt idx="1567">
                  <c:v>43892</c:v>
                </c:pt>
                <c:pt idx="1568">
                  <c:v>43889</c:v>
                </c:pt>
                <c:pt idx="1569">
                  <c:v>43888</c:v>
                </c:pt>
                <c:pt idx="1570">
                  <c:v>43887</c:v>
                </c:pt>
                <c:pt idx="1571">
                  <c:v>43886</c:v>
                </c:pt>
                <c:pt idx="1572">
                  <c:v>43885</c:v>
                </c:pt>
                <c:pt idx="1573">
                  <c:v>43882</c:v>
                </c:pt>
                <c:pt idx="1574">
                  <c:v>43881</c:v>
                </c:pt>
                <c:pt idx="1575">
                  <c:v>43880</c:v>
                </c:pt>
                <c:pt idx="1576">
                  <c:v>43879</c:v>
                </c:pt>
                <c:pt idx="1577">
                  <c:v>43875</c:v>
                </c:pt>
                <c:pt idx="1578">
                  <c:v>43874</c:v>
                </c:pt>
                <c:pt idx="1579">
                  <c:v>43873</c:v>
                </c:pt>
                <c:pt idx="1580">
                  <c:v>43872</c:v>
                </c:pt>
                <c:pt idx="1581">
                  <c:v>43871</c:v>
                </c:pt>
                <c:pt idx="1582">
                  <c:v>43868</c:v>
                </c:pt>
                <c:pt idx="1583">
                  <c:v>43867</c:v>
                </c:pt>
                <c:pt idx="1584">
                  <c:v>43866</c:v>
                </c:pt>
                <c:pt idx="1585">
                  <c:v>43865</c:v>
                </c:pt>
                <c:pt idx="1586">
                  <c:v>43864</c:v>
                </c:pt>
                <c:pt idx="1587">
                  <c:v>43861</c:v>
                </c:pt>
                <c:pt idx="1588">
                  <c:v>43860</c:v>
                </c:pt>
                <c:pt idx="1589">
                  <c:v>43859</c:v>
                </c:pt>
                <c:pt idx="1590">
                  <c:v>43858</c:v>
                </c:pt>
                <c:pt idx="1591">
                  <c:v>43857</c:v>
                </c:pt>
                <c:pt idx="1592">
                  <c:v>43854</c:v>
                </c:pt>
                <c:pt idx="1593">
                  <c:v>43853</c:v>
                </c:pt>
                <c:pt idx="1594">
                  <c:v>43852</c:v>
                </c:pt>
                <c:pt idx="1595">
                  <c:v>43851</c:v>
                </c:pt>
                <c:pt idx="1596">
                  <c:v>43847</c:v>
                </c:pt>
                <c:pt idx="1597">
                  <c:v>43846</c:v>
                </c:pt>
                <c:pt idx="1598">
                  <c:v>43845</c:v>
                </c:pt>
                <c:pt idx="1599">
                  <c:v>43844</c:v>
                </c:pt>
                <c:pt idx="1600">
                  <c:v>43843</c:v>
                </c:pt>
                <c:pt idx="1601">
                  <c:v>43840</c:v>
                </c:pt>
                <c:pt idx="1602">
                  <c:v>43839</c:v>
                </c:pt>
                <c:pt idx="1603">
                  <c:v>43838</c:v>
                </c:pt>
                <c:pt idx="1604">
                  <c:v>43837</c:v>
                </c:pt>
                <c:pt idx="1605">
                  <c:v>43836</c:v>
                </c:pt>
                <c:pt idx="1606">
                  <c:v>43833</c:v>
                </c:pt>
                <c:pt idx="1607">
                  <c:v>43832</c:v>
                </c:pt>
                <c:pt idx="1608">
                  <c:v>43830</c:v>
                </c:pt>
                <c:pt idx="1609">
                  <c:v>43829</c:v>
                </c:pt>
                <c:pt idx="1610">
                  <c:v>43826</c:v>
                </c:pt>
                <c:pt idx="1611">
                  <c:v>43825</c:v>
                </c:pt>
                <c:pt idx="1612">
                  <c:v>43823</c:v>
                </c:pt>
                <c:pt idx="1613">
                  <c:v>43822</c:v>
                </c:pt>
                <c:pt idx="1614">
                  <c:v>43819</c:v>
                </c:pt>
                <c:pt idx="1615">
                  <c:v>43818</c:v>
                </c:pt>
                <c:pt idx="1616">
                  <c:v>43817</c:v>
                </c:pt>
                <c:pt idx="1617">
                  <c:v>43816</c:v>
                </c:pt>
                <c:pt idx="1618">
                  <c:v>43815</c:v>
                </c:pt>
                <c:pt idx="1619">
                  <c:v>43812</c:v>
                </c:pt>
                <c:pt idx="1620">
                  <c:v>43811</c:v>
                </c:pt>
                <c:pt idx="1621">
                  <c:v>43810</c:v>
                </c:pt>
                <c:pt idx="1622">
                  <c:v>43809</c:v>
                </c:pt>
                <c:pt idx="1623">
                  <c:v>43808</c:v>
                </c:pt>
                <c:pt idx="1624">
                  <c:v>43805</c:v>
                </c:pt>
                <c:pt idx="1625">
                  <c:v>43804</c:v>
                </c:pt>
                <c:pt idx="1626">
                  <c:v>43803</c:v>
                </c:pt>
                <c:pt idx="1627">
                  <c:v>43802</c:v>
                </c:pt>
                <c:pt idx="1628">
                  <c:v>43801</c:v>
                </c:pt>
                <c:pt idx="1629">
                  <c:v>43798</c:v>
                </c:pt>
                <c:pt idx="1630">
                  <c:v>43796</c:v>
                </c:pt>
                <c:pt idx="1631">
                  <c:v>43795</c:v>
                </c:pt>
                <c:pt idx="1632">
                  <c:v>43794</c:v>
                </c:pt>
                <c:pt idx="1633">
                  <c:v>43791</c:v>
                </c:pt>
                <c:pt idx="1634">
                  <c:v>43790</c:v>
                </c:pt>
                <c:pt idx="1635">
                  <c:v>43789</c:v>
                </c:pt>
                <c:pt idx="1636">
                  <c:v>43788</c:v>
                </c:pt>
                <c:pt idx="1637">
                  <c:v>43787</c:v>
                </c:pt>
                <c:pt idx="1638">
                  <c:v>43784</c:v>
                </c:pt>
                <c:pt idx="1639">
                  <c:v>43783</c:v>
                </c:pt>
                <c:pt idx="1640">
                  <c:v>43782</c:v>
                </c:pt>
                <c:pt idx="1641">
                  <c:v>43781</c:v>
                </c:pt>
                <c:pt idx="1642">
                  <c:v>43780</c:v>
                </c:pt>
                <c:pt idx="1643">
                  <c:v>43777</c:v>
                </c:pt>
                <c:pt idx="1644">
                  <c:v>43776</c:v>
                </c:pt>
                <c:pt idx="1645">
                  <c:v>43775</c:v>
                </c:pt>
                <c:pt idx="1646">
                  <c:v>43774</c:v>
                </c:pt>
                <c:pt idx="1647">
                  <c:v>43773</c:v>
                </c:pt>
                <c:pt idx="1648">
                  <c:v>43770</c:v>
                </c:pt>
                <c:pt idx="1649">
                  <c:v>43769</c:v>
                </c:pt>
                <c:pt idx="1650">
                  <c:v>43768</c:v>
                </c:pt>
                <c:pt idx="1651">
                  <c:v>43767</c:v>
                </c:pt>
                <c:pt idx="1652">
                  <c:v>43766</c:v>
                </c:pt>
                <c:pt idx="1653">
                  <c:v>43763</c:v>
                </c:pt>
                <c:pt idx="1654">
                  <c:v>43762</c:v>
                </c:pt>
                <c:pt idx="1655">
                  <c:v>43761</c:v>
                </c:pt>
                <c:pt idx="1656">
                  <c:v>43760</c:v>
                </c:pt>
                <c:pt idx="1657">
                  <c:v>43759</c:v>
                </c:pt>
                <c:pt idx="1658">
                  <c:v>43756</c:v>
                </c:pt>
                <c:pt idx="1659">
                  <c:v>43755</c:v>
                </c:pt>
                <c:pt idx="1660">
                  <c:v>43754</c:v>
                </c:pt>
                <c:pt idx="1661">
                  <c:v>43753</c:v>
                </c:pt>
                <c:pt idx="1662">
                  <c:v>43752</c:v>
                </c:pt>
                <c:pt idx="1663">
                  <c:v>43749</c:v>
                </c:pt>
                <c:pt idx="1664">
                  <c:v>43748</c:v>
                </c:pt>
                <c:pt idx="1665">
                  <c:v>43747</c:v>
                </c:pt>
                <c:pt idx="1666">
                  <c:v>43746</c:v>
                </c:pt>
                <c:pt idx="1667">
                  <c:v>43745</c:v>
                </c:pt>
                <c:pt idx="1668">
                  <c:v>43742</c:v>
                </c:pt>
                <c:pt idx="1669">
                  <c:v>43741</c:v>
                </c:pt>
                <c:pt idx="1670">
                  <c:v>43740</c:v>
                </c:pt>
                <c:pt idx="1671">
                  <c:v>43739</c:v>
                </c:pt>
                <c:pt idx="1672">
                  <c:v>43738</c:v>
                </c:pt>
                <c:pt idx="1673">
                  <c:v>43735</c:v>
                </c:pt>
                <c:pt idx="1674">
                  <c:v>43734</c:v>
                </c:pt>
                <c:pt idx="1675">
                  <c:v>43733</c:v>
                </c:pt>
                <c:pt idx="1676">
                  <c:v>43732</c:v>
                </c:pt>
                <c:pt idx="1677">
                  <c:v>43731</c:v>
                </c:pt>
                <c:pt idx="1678">
                  <c:v>43728</c:v>
                </c:pt>
                <c:pt idx="1679">
                  <c:v>43727</c:v>
                </c:pt>
                <c:pt idx="1680">
                  <c:v>43726</c:v>
                </c:pt>
                <c:pt idx="1681">
                  <c:v>43725</c:v>
                </c:pt>
                <c:pt idx="1682">
                  <c:v>43724</c:v>
                </c:pt>
                <c:pt idx="1683">
                  <c:v>43721</c:v>
                </c:pt>
                <c:pt idx="1684">
                  <c:v>43720</c:v>
                </c:pt>
                <c:pt idx="1685">
                  <c:v>43719</c:v>
                </c:pt>
                <c:pt idx="1686">
                  <c:v>43718</c:v>
                </c:pt>
                <c:pt idx="1687">
                  <c:v>43717</c:v>
                </c:pt>
                <c:pt idx="1688">
                  <c:v>43714</c:v>
                </c:pt>
                <c:pt idx="1689">
                  <c:v>43713</c:v>
                </c:pt>
                <c:pt idx="1690">
                  <c:v>43712</c:v>
                </c:pt>
                <c:pt idx="1691">
                  <c:v>43711</c:v>
                </c:pt>
                <c:pt idx="1692">
                  <c:v>43707</c:v>
                </c:pt>
                <c:pt idx="1693">
                  <c:v>43706</c:v>
                </c:pt>
                <c:pt idx="1694">
                  <c:v>43705</c:v>
                </c:pt>
                <c:pt idx="1695">
                  <c:v>43704</c:v>
                </c:pt>
                <c:pt idx="1696">
                  <c:v>43703</c:v>
                </c:pt>
                <c:pt idx="1697">
                  <c:v>43700</c:v>
                </c:pt>
                <c:pt idx="1698">
                  <c:v>43699</c:v>
                </c:pt>
                <c:pt idx="1699">
                  <c:v>43698</c:v>
                </c:pt>
                <c:pt idx="1700">
                  <c:v>43697</c:v>
                </c:pt>
                <c:pt idx="1701">
                  <c:v>43696</c:v>
                </c:pt>
                <c:pt idx="1702">
                  <c:v>43693</c:v>
                </c:pt>
                <c:pt idx="1703">
                  <c:v>43692</c:v>
                </c:pt>
                <c:pt idx="1704">
                  <c:v>43691</c:v>
                </c:pt>
                <c:pt idx="1705">
                  <c:v>43690</c:v>
                </c:pt>
                <c:pt idx="1706">
                  <c:v>43689</c:v>
                </c:pt>
                <c:pt idx="1707">
                  <c:v>43686</c:v>
                </c:pt>
                <c:pt idx="1708">
                  <c:v>43685</c:v>
                </c:pt>
                <c:pt idx="1709">
                  <c:v>43684</c:v>
                </c:pt>
                <c:pt idx="1710">
                  <c:v>43683</c:v>
                </c:pt>
                <c:pt idx="1711">
                  <c:v>43682</c:v>
                </c:pt>
                <c:pt idx="1712">
                  <c:v>43679</c:v>
                </c:pt>
                <c:pt idx="1713">
                  <c:v>43678</c:v>
                </c:pt>
                <c:pt idx="1714">
                  <c:v>43677</c:v>
                </c:pt>
                <c:pt idx="1715">
                  <c:v>43676</c:v>
                </c:pt>
                <c:pt idx="1716">
                  <c:v>43675</c:v>
                </c:pt>
                <c:pt idx="1717">
                  <c:v>43672</c:v>
                </c:pt>
                <c:pt idx="1718">
                  <c:v>43671</c:v>
                </c:pt>
                <c:pt idx="1719">
                  <c:v>43670</c:v>
                </c:pt>
                <c:pt idx="1720">
                  <c:v>43669</c:v>
                </c:pt>
                <c:pt idx="1721">
                  <c:v>43668</c:v>
                </c:pt>
                <c:pt idx="1722">
                  <c:v>43665</c:v>
                </c:pt>
                <c:pt idx="1723">
                  <c:v>43664</c:v>
                </c:pt>
                <c:pt idx="1724">
                  <c:v>43663</c:v>
                </c:pt>
                <c:pt idx="1725">
                  <c:v>43662</c:v>
                </c:pt>
                <c:pt idx="1726">
                  <c:v>43661</c:v>
                </c:pt>
                <c:pt idx="1727">
                  <c:v>43658</c:v>
                </c:pt>
                <c:pt idx="1728">
                  <c:v>43657</c:v>
                </c:pt>
                <c:pt idx="1729">
                  <c:v>43656</c:v>
                </c:pt>
                <c:pt idx="1730">
                  <c:v>43655</c:v>
                </c:pt>
                <c:pt idx="1731">
                  <c:v>43654</c:v>
                </c:pt>
                <c:pt idx="1732">
                  <c:v>43651</c:v>
                </c:pt>
                <c:pt idx="1733">
                  <c:v>43649</c:v>
                </c:pt>
                <c:pt idx="1734">
                  <c:v>43648</c:v>
                </c:pt>
                <c:pt idx="1735">
                  <c:v>43647</c:v>
                </c:pt>
                <c:pt idx="1736">
                  <c:v>43644</c:v>
                </c:pt>
                <c:pt idx="1737">
                  <c:v>43643</c:v>
                </c:pt>
                <c:pt idx="1738">
                  <c:v>43642</c:v>
                </c:pt>
                <c:pt idx="1739">
                  <c:v>43641</c:v>
                </c:pt>
                <c:pt idx="1740">
                  <c:v>43640</c:v>
                </c:pt>
                <c:pt idx="1741">
                  <c:v>43637</c:v>
                </c:pt>
                <c:pt idx="1742">
                  <c:v>43636</c:v>
                </c:pt>
                <c:pt idx="1743">
                  <c:v>43635</c:v>
                </c:pt>
                <c:pt idx="1744">
                  <c:v>43634</c:v>
                </c:pt>
                <c:pt idx="1745">
                  <c:v>43633</c:v>
                </c:pt>
                <c:pt idx="1746">
                  <c:v>43630</c:v>
                </c:pt>
                <c:pt idx="1747">
                  <c:v>43629</c:v>
                </c:pt>
                <c:pt idx="1748">
                  <c:v>43628</c:v>
                </c:pt>
                <c:pt idx="1749">
                  <c:v>43627</c:v>
                </c:pt>
                <c:pt idx="1750">
                  <c:v>43626</c:v>
                </c:pt>
                <c:pt idx="1751">
                  <c:v>43623</c:v>
                </c:pt>
                <c:pt idx="1752">
                  <c:v>43622</c:v>
                </c:pt>
                <c:pt idx="1753">
                  <c:v>43621</c:v>
                </c:pt>
                <c:pt idx="1754">
                  <c:v>43620</c:v>
                </c:pt>
                <c:pt idx="1755">
                  <c:v>43619</c:v>
                </c:pt>
                <c:pt idx="1756">
                  <c:v>43616</c:v>
                </c:pt>
                <c:pt idx="1757">
                  <c:v>43615</c:v>
                </c:pt>
                <c:pt idx="1758">
                  <c:v>43614</c:v>
                </c:pt>
                <c:pt idx="1759">
                  <c:v>43613</c:v>
                </c:pt>
                <c:pt idx="1760">
                  <c:v>43609</c:v>
                </c:pt>
                <c:pt idx="1761">
                  <c:v>43608</c:v>
                </c:pt>
                <c:pt idx="1762">
                  <c:v>43607</c:v>
                </c:pt>
                <c:pt idx="1763">
                  <c:v>43606</c:v>
                </c:pt>
                <c:pt idx="1764">
                  <c:v>43605</c:v>
                </c:pt>
                <c:pt idx="1765">
                  <c:v>43602</c:v>
                </c:pt>
                <c:pt idx="1766">
                  <c:v>43601</c:v>
                </c:pt>
                <c:pt idx="1767">
                  <c:v>43600</c:v>
                </c:pt>
                <c:pt idx="1768">
                  <c:v>43599</c:v>
                </c:pt>
                <c:pt idx="1769">
                  <c:v>43598</c:v>
                </c:pt>
                <c:pt idx="1770">
                  <c:v>43595</c:v>
                </c:pt>
                <c:pt idx="1771">
                  <c:v>43594</c:v>
                </c:pt>
                <c:pt idx="1772">
                  <c:v>43593</c:v>
                </c:pt>
                <c:pt idx="1773">
                  <c:v>43592</c:v>
                </c:pt>
                <c:pt idx="1774">
                  <c:v>43591</c:v>
                </c:pt>
                <c:pt idx="1775">
                  <c:v>43588</c:v>
                </c:pt>
                <c:pt idx="1776">
                  <c:v>43587</c:v>
                </c:pt>
                <c:pt idx="1777">
                  <c:v>43586</c:v>
                </c:pt>
                <c:pt idx="1778">
                  <c:v>43585</c:v>
                </c:pt>
                <c:pt idx="1779">
                  <c:v>43584</c:v>
                </c:pt>
                <c:pt idx="1780">
                  <c:v>43581</c:v>
                </c:pt>
                <c:pt idx="1781">
                  <c:v>43580</c:v>
                </c:pt>
                <c:pt idx="1782">
                  <c:v>43579</c:v>
                </c:pt>
                <c:pt idx="1783">
                  <c:v>43578</c:v>
                </c:pt>
                <c:pt idx="1784">
                  <c:v>43577</c:v>
                </c:pt>
                <c:pt idx="1785">
                  <c:v>43573</c:v>
                </c:pt>
                <c:pt idx="1786">
                  <c:v>43572</c:v>
                </c:pt>
                <c:pt idx="1787">
                  <c:v>43571</c:v>
                </c:pt>
                <c:pt idx="1788">
                  <c:v>43570</c:v>
                </c:pt>
                <c:pt idx="1789">
                  <c:v>43567</c:v>
                </c:pt>
                <c:pt idx="1790">
                  <c:v>43566</c:v>
                </c:pt>
                <c:pt idx="1791">
                  <c:v>43565</c:v>
                </c:pt>
                <c:pt idx="1792">
                  <c:v>43564</c:v>
                </c:pt>
                <c:pt idx="1793">
                  <c:v>43563</c:v>
                </c:pt>
                <c:pt idx="1794">
                  <c:v>43560</c:v>
                </c:pt>
                <c:pt idx="1795">
                  <c:v>43559</c:v>
                </c:pt>
                <c:pt idx="1796">
                  <c:v>43558</c:v>
                </c:pt>
                <c:pt idx="1797">
                  <c:v>43557</c:v>
                </c:pt>
                <c:pt idx="1798">
                  <c:v>43556</c:v>
                </c:pt>
                <c:pt idx="1799">
                  <c:v>43553</c:v>
                </c:pt>
                <c:pt idx="1800">
                  <c:v>43552</c:v>
                </c:pt>
                <c:pt idx="1801">
                  <c:v>43551</c:v>
                </c:pt>
                <c:pt idx="1802">
                  <c:v>43550</c:v>
                </c:pt>
                <c:pt idx="1803">
                  <c:v>43549</c:v>
                </c:pt>
                <c:pt idx="1804">
                  <c:v>43546</c:v>
                </c:pt>
                <c:pt idx="1805">
                  <c:v>43545</c:v>
                </c:pt>
                <c:pt idx="1806">
                  <c:v>43544</c:v>
                </c:pt>
                <c:pt idx="1807">
                  <c:v>43543</c:v>
                </c:pt>
                <c:pt idx="1808">
                  <c:v>43542</c:v>
                </c:pt>
                <c:pt idx="1809">
                  <c:v>43539</c:v>
                </c:pt>
                <c:pt idx="1810">
                  <c:v>43538</c:v>
                </c:pt>
                <c:pt idx="1811">
                  <c:v>43537</c:v>
                </c:pt>
                <c:pt idx="1812">
                  <c:v>43536</c:v>
                </c:pt>
                <c:pt idx="1813">
                  <c:v>43535</c:v>
                </c:pt>
                <c:pt idx="1814">
                  <c:v>43532</c:v>
                </c:pt>
                <c:pt idx="1815">
                  <c:v>43531</c:v>
                </c:pt>
                <c:pt idx="1816">
                  <c:v>43530</c:v>
                </c:pt>
                <c:pt idx="1817">
                  <c:v>43529</c:v>
                </c:pt>
                <c:pt idx="1818">
                  <c:v>43528</c:v>
                </c:pt>
                <c:pt idx="1819">
                  <c:v>43525</c:v>
                </c:pt>
                <c:pt idx="1820">
                  <c:v>43524</c:v>
                </c:pt>
                <c:pt idx="1821">
                  <c:v>43523</c:v>
                </c:pt>
                <c:pt idx="1822">
                  <c:v>43522</c:v>
                </c:pt>
                <c:pt idx="1823">
                  <c:v>43521</c:v>
                </c:pt>
                <c:pt idx="1824">
                  <c:v>43518</c:v>
                </c:pt>
                <c:pt idx="1825">
                  <c:v>43517</c:v>
                </c:pt>
                <c:pt idx="1826">
                  <c:v>43516</c:v>
                </c:pt>
                <c:pt idx="1827">
                  <c:v>43515</c:v>
                </c:pt>
                <c:pt idx="1828">
                  <c:v>43511</c:v>
                </c:pt>
                <c:pt idx="1829">
                  <c:v>43510</c:v>
                </c:pt>
                <c:pt idx="1830">
                  <c:v>43509</c:v>
                </c:pt>
                <c:pt idx="1831">
                  <c:v>43508</c:v>
                </c:pt>
                <c:pt idx="1832">
                  <c:v>43507</c:v>
                </c:pt>
                <c:pt idx="1833">
                  <c:v>43504</c:v>
                </c:pt>
                <c:pt idx="1834">
                  <c:v>43503</c:v>
                </c:pt>
                <c:pt idx="1835">
                  <c:v>43502</c:v>
                </c:pt>
                <c:pt idx="1836">
                  <c:v>43501</c:v>
                </c:pt>
                <c:pt idx="1837">
                  <c:v>43500</c:v>
                </c:pt>
                <c:pt idx="1838">
                  <c:v>43497</c:v>
                </c:pt>
                <c:pt idx="1839">
                  <c:v>43496</c:v>
                </c:pt>
                <c:pt idx="1840">
                  <c:v>43495</c:v>
                </c:pt>
                <c:pt idx="1841">
                  <c:v>43494</c:v>
                </c:pt>
                <c:pt idx="1842">
                  <c:v>43493</c:v>
                </c:pt>
                <c:pt idx="1843">
                  <c:v>43490</c:v>
                </c:pt>
                <c:pt idx="1844">
                  <c:v>43489</c:v>
                </c:pt>
                <c:pt idx="1845">
                  <c:v>43488</c:v>
                </c:pt>
                <c:pt idx="1846">
                  <c:v>43487</c:v>
                </c:pt>
                <c:pt idx="1847">
                  <c:v>43483</c:v>
                </c:pt>
                <c:pt idx="1848">
                  <c:v>43482</c:v>
                </c:pt>
                <c:pt idx="1849">
                  <c:v>43481</c:v>
                </c:pt>
                <c:pt idx="1850">
                  <c:v>43480</c:v>
                </c:pt>
                <c:pt idx="1851">
                  <c:v>43479</c:v>
                </c:pt>
                <c:pt idx="1852">
                  <c:v>43476</c:v>
                </c:pt>
                <c:pt idx="1853">
                  <c:v>43475</c:v>
                </c:pt>
                <c:pt idx="1854">
                  <c:v>43474</c:v>
                </c:pt>
                <c:pt idx="1855">
                  <c:v>43473</c:v>
                </c:pt>
                <c:pt idx="1856">
                  <c:v>43472</c:v>
                </c:pt>
                <c:pt idx="1857">
                  <c:v>43469</c:v>
                </c:pt>
                <c:pt idx="1858">
                  <c:v>43468</c:v>
                </c:pt>
                <c:pt idx="1859">
                  <c:v>43467</c:v>
                </c:pt>
                <c:pt idx="1860">
                  <c:v>43465</c:v>
                </c:pt>
                <c:pt idx="1861">
                  <c:v>43462</c:v>
                </c:pt>
                <c:pt idx="1862">
                  <c:v>43461</c:v>
                </c:pt>
                <c:pt idx="1863">
                  <c:v>43460</c:v>
                </c:pt>
                <c:pt idx="1864">
                  <c:v>43458</c:v>
                </c:pt>
                <c:pt idx="1865">
                  <c:v>43455</c:v>
                </c:pt>
                <c:pt idx="1866">
                  <c:v>43454</c:v>
                </c:pt>
                <c:pt idx="1867">
                  <c:v>43453</c:v>
                </c:pt>
                <c:pt idx="1868">
                  <c:v>43452</c:v>
                </c:pt>
                <c:pt idx="1869">
                  <c:v>43451</c:v>
                </c:pt>
                <c:pt idx="1870">
                  <c:v>43448</c:v>
                </c:pt>
                <c:pt idx="1871">
                  <c:v>43447</c:v>
                </c:pt>
                <c:pt idx="1872">
                  <c:v>43446</c:v>
                </c:pt>
                <c:pt idx="1873">
                  <c:v>43445</c:v>
                </c:pt>
                <c:pt idx="1874">
                  <c:v>43444</c:v>
                </c:pt>
                <c:pt idx="1875">
                  <c:v>43441</c:v>
                </c:pt>
                <c:pt idx="1876">
                  <c:v>43440</c:v>
                </c:pt>
                <c:pt idx="1877">
                  <c:v>43438</c:v>
                </c:pt>
                <c:pt idx="1878">
                  <c:v>43437</c:v>
                </c:pt>
                <c:pt idx="1879">
                  <c:v>43434</c:v>
                </c:pt>
                <c:pt idx="1880">
                  <c:v>43433</c:v>
                </c:pt>
                <c:pt idx="1881">
                  <c:v>43432</c:v>
                </c:pt>
                <c:pt idx="1882">
                  <c:v>43431</c:v>
                </c:pt>
                <c:pt idx="1883">
                  <c:v>43430</c:v>
                </c:pt>
                <c:pt idx="1884">
                  <c:v>43427</c:v>
                </c:pt>
                <c:pt idx="1885">
                  <c:v>43425</c:v>
                </c:pt>
                <c:pt idx="1886">
                  <c:v>43424</c:v>
                </c:pt>
                <c:pt idx="1887">
                  <c:v>43423</c:v>
                </c:pt>
                <c:pt idx="1888">
                  <c:v>43420</c:v>
                </c:pt>
                <c:pt idx="1889">
                  <c:v>43419</c:v>
                </c:pt>
                <c:pt idx="1890">
                  <c:v>43418</c:v>
                </c:pt>
                <c:pt idx="1891">
                  <c:v>43417</c:v>
                </c:pt>
                <c:pt idx="1892">
                  <c:v>43416</c:v>
                </c:pt>
                <c:pt idx="1893">
                  <c:v>43413</c:v>
                </c:pt>
                <c:pt idx="1894">
                  <c:v>43412</c:v>
                </c:pt>
                <c:pt idx="1895">
                  <c:v>43411</c:v>
                </c:pt>
                <c:pt idx="1896">
                  <c:v>43410</c:v>
                </c:pt>
                <c:pt idx="1897">
                  <c:v>43409</c:v>
                </c:pt>
                <c:pt idx="1898">
                  <c:v>43406</c:v>
                </c:pt>
                <c:pt idx="1899">
                  <c:v>43405</c:v>
                </c:pt>
                <c:pt idx="1900">
                  <c:v>43404</c:v>
                </c:pt>
                <c:pt idx="1901">
                  <c:v>43403</c:v>
                </c:pt>
                <c:pt idx="1902">
                  <c:v>43402</c:v>
                </c:pt>
                <c:pt idx="1903">
                  <c:v>43399</c:v>
                </c:pt>
                <c:pt idx="1904">
                  <c:v>43398</c:v>
                </c:pt>
                <c:pt idx="1905">
                  <c:v>43397</c:v>
                </c:pt>
                <c:pt idx="1906">
                  <c:v>43396</c:v>
                </c:pt>
                <c:pt idx="1907">
                  <c:v>43395</c:v>
                </c:pt>
                <c:pt idx="1908">
                  <c:v>43392</c:v>
                </c:pt>
                <c:pt idx="1909">
                  <c:v>43391</c:v>
                </c:pt>
                <c:pt idx="1910">
                  <c:v>43390</c:v>
                </c:pt>
                <c:pt idx="1911">
                  <c:v>43389</c:v>
                </c:pt>
                <c:pt idx="1912">
                  <c:v>43388</c:v>
                </c:pt>
                <c:pt idx="1913">
                  <c:v>43385</c:v>
                </c:pt>
                <c:pt idx="1914">
                  <c:v>43384</c:v>
                </c:pt>
                <c:pt idx="1915">
                  <c:v>43383</c:v>
                </c:pt>
                <c:pt idx="1916">
                  <c:v>43382</c:v>
                </c:pt>
                <c:pt idx="1917">
                  <c:v>43381</c:v>
                </c:pt>
                <c:pt idx="1918">
                  <c:v>43378</c:v>
                </c:pt>
                <c:pt idx="1919">
                  <c:v>43377</c:v>
                </c:pt>
                <c:pt idx="1920">
                  <c:v>43376</c:v>
                </c:pt>
                <c:pt idx="1921">
                  <c:v>43375</c:v>
                </c:pt>
                <c:pt idx="1922">
                  <c:v>43374</c:v>
                </c:pt>
                <c:pt idx="1923">
                  <c:v>43371</c:v>
                </c:pt>
                <c:pt idx="1924">
                  <c:v>43370</c:v>
                </c:pt>
                <c:pt idx="1925">
                  <c:v>43369</c:v>
                </c:pt>
                <c:pt idx="1926">
                  <c:v>43368</c:v>
                </c:pt>
                <c:pt idx="1927">
                  <c:v>43367</c:v>
                </c:pt>
                <c:pt idx="1928">
                  <c:v>43364</c:v>
                </c:pt>
                <c:pt idx="1929">
                  <c:v>43363</c:v>
                </c:pt>
                <c:pt idx="1930">
                  <c:v>43362</c:v>
                </c:pt>
                <c:pt idx="1931">
                  <c:v>43361</c:v>
                </c:pt>
                <c:pt idx="1932">
                  <c:v>43360</c:v>
                </c:pt>
                <c:pt idx="1933">
                  <c:v>43357</c:v>
                </c:pt>
                <c:pt idx="1934">
                  <c:v>43356</c:v>
                </c:pt>
                <c:pt idx="1935">
                  <c:v>43355</c:v>
                </c:pt>
                <c:pt idx="1936">
                  <c:v>43354</c:v>
                </c:pt>
                <c:pt idx="1937">
                  <c:v>43353</c:v>
                </c:pt>
                <c:pt idx="1938">
                  <c:v>43350</c:v>
                </c:pt>
                <c:pt idx="1939">
                  <c:v>43349</c:v>
                </c:pt>
                <c:pt idx="1940">
                  <c:v>43348</c:v>
                </c:pt>
                <c:pt idx="1941">
                  <c:v>43347</c:v>
                </c:pt>
                <c:pt idx="1942">
                  <c:v>43343</c:v>
                </c:pt>
                <c:pt idx="1943">
                  <c:v>43342</c:v>
                </c:pt>
                <c:pt idx="1944">
                  <c:v>43341</c:v>
                </c:pt>
                <c:pt idx="1945">
                  <c:v>43340</c:v>
                </c:pt>
                <c:pt idx="1946">
                  <c:v>43339</c:v>
                </c:pt>
                <c:pt idx="1947">
                  <c:v>43336</c:v>
                </c:pt>
                <c:pt idx="1948">
                  <c:v>43335</c:v>
                </c:pt>
                <c:pt idx="1949">
                  <c:v>43334</c:v>
                </c:pt>
                <c:pt idx="1950">
                  <c:v>43333</c:v>
                </c:pt>
                <c:pt idx="1951">
                  <c:v>43332</c:v>
                </c:pt>
                <c:pt idx="1952">
                  <c:v>43329</c:v>
                </c:pt>
                <c:pt idx="1953">
                  <c:v>43328</c:v>
                </c:pt>
                <c:pt idx="1954">
                  <c:v>43327</c:v>
                </c:pt>
                <c:pt idx="1955">
                  <c:v>43326</c:v>
                </c:pt>
                <c:pt idx="1956">
                  <c:v>43325</c:v>
                </c:pt>
                <c:pt idx="1957">
                  <c:v>43322</c:v>
                </c:pt>
                <c:pt idx="1958">
                  <c:v>43321</c:v>
                </c:pt>
                <c:pt idx="1959">
                  <c:v>43320</c:v>
                </c:pt>
                <c:pt idx="1960">
                  <c:v>43319</c:v>
                </c:pt>
                <c:pt idx="1961">
                  <c:v>43318</c:v>
                </c:pt>
                <c:pt idx="1962">
                  <c:v>43315</c:v>
                </c:pt>
                <c:pt idx="1963">
                  <c:v>43314</c:v>
                </c:pt>
                <c:pt idx="1964">
                  <c:v>43313</c:v>
                </c:pt>
                <c:pt idx="1965">
                  <c:v>43312</c:v>
                </c:pt>
                <c:pt idx="1966">
                  <c:v>43311</c:v>
                </c:pt>
                <c:pt idx="1967">
                  <c:v>43308</c:v>
                </c:pt>
                <c:pt idx="1968">
                  <c:v>43307</c:v>
                </c:pt>
                <c:pt idx="1969">
                  <c:v>43306</c:v>
                </c:pt>
                <c:pt idx="1970">
                  <c:v>43305</c:v>
                </c:pt>
                <c:pt idx="1971">
                  <c:v>43304</c:v>
                </c:pt>
                <c:pt idx="1972">
                  <c:v>43301</c:v>
                </c:pt>
                <c:pt idx="1973">
                  <c:v>43300</c:v>
                </c:pt>
                <c:pt idx="1974">
                  <c:v>43299</c:v>
                </c:pt>
                <c:pt idx="1975">
                  <c:v>43298</c:v>
                </c:pt>
                <c:pt idx="1976">
                  <c:v>43297</c:v>
                </c:pt>
                <c:pt idx="1977">
                  <c:v>43294</c:v>
                </c:pt>
                <c:pt idx="1978">
                  <c:v>43293</c:v>
                </c:pt>
                <c:pt idx="1979">
                  <c:v>43292</c:v>
                </c:pt>
                <c:pt idx="1980">
                  <c:v>43291</c:v>
                </c:pt>
                <c:pt idx="1981">
                  <c:v>43290</c:v>
                </c:pt>
                <c:pt idx="1982">
                  <c:v>43287</c:v>
                </c:pt>
                <c:pt idx="1983">
                  <c:v>43286</c:v>
                </c:pt>
                <c:pt idx="1984">
                  <c:v>43284</c:v>
                </c:pt>
                <c:pt idx="1985">
                  <c:v>43283</c:v>
                </c:pt>
                <c:pt idx="1986">
                  <c:v>43280</c:v>
                </c:pt>
                <c:pt idx="1987">
                  <c:v>43279</c:v>
                </c:pt>
                <c:pt idx="1988">
                  <c:v>43278</c:v>
                </c:pt>
                <c:pt idx="1989">
                  <c:v>43277</c:v>
                </c:pt>
                <c:pt idx="1990">
                  <c:v>43276</c:v>
                </c:pt>
                <c:pt idx="1991">
                  <c:v>43273</c:v>
                </c:pt>
                <c:pt idx="1992">
                  <c:v>43272</c:v>
                </c:pt>
                <c:pt idx="1993">
                  <c:v>43271</c:v>
                </c:pt>
                <c:pt idx="1994">
                  <c:v>43270</c:v>
                </c:pt>
                <c:pt idx="1995">
                  <c:v>43269</c:v>
                </c:pt>
                <c:pt idx="1996">
                  <c:v>43266</c:v>
                </c:pt>
                <c:pt idx="1997">
                  <c:v>43265</c:v>
                </c:pt>
                <c:pt idx="1998">
                  <c:v>43264</c:v>
                </c:pt>
                <c:pt idx="1999">
                  <c:v>43263</c:v>
                </c:pt>
                <c:pt idx="2000">
                  <c:v>43262</c:v>
                </c:pt>
                <c:pt idx="2001">
                  <c:v>43259</c:v>
                </c:pt>
                <c:pt idx="2002">
                  <c:v>43258</c:v>
                </c:pt>
                <c:pt idx="2003">
                  <c:v>43257</c:v>
                </c:pt>
                <c:pt idx="2004">
                  <c:v>43256</c:v>
                </c:pt>
                <c:pt idx="2005">
                  <c:v>43255</c:v>
                </c:pt>
                <c:pt idx="2006">
                  <c:v>43252</c:v>
                </c:pt>
                <c:pt idx="2007">
                  <c:v>43251</c:v>
                </c:pt>
                <c:pt idx="2008">
                  <c:v>43250</c:v>
                </c:pt>
                <c:pt idx="2009">
                  <c:v>43249</c:v>
                </c:pt>
                <c:pt idx="2010">
                  <c:v>43245</c:v>
                </c:pt>
                <c:pt idx="2011">
                  <c:v>43244</c:v>
                </c:pt>
                <c:pt idx="2012">
                  <c:v>43243</c:v>
                </c:pt>
                <c:pt idx="2013">
                  <c:v>43242</c:v>
                </c:pt>
                <c:pt idx="2014">
                  <c:v>43241</c:v>
                </c:pt>
                <c:pt idx="2015">
                  <c:v>43238</c:v>
                </c:pt>
                <c:pt idx="2016">
                  <c:v>43237</c:v>
                </c:pt>
                <c:pt idx="2017">
                  <c:v>43236</c:v>
                </c:pt>
                <c:pt idx="2018">
                  <c:v>43235</c:v>
                </c:pt>
                <c:pt idx="2019">
                  <c:v>43234</c:v>
                </c:pt>
                <c:pt idx="2020">
                  <c:v>43231</c:v>
                </c:pt>
                <c:pt idx="2021">
                  <c:v>43230</c:v>
                </c:pt>
                <c:pt idx="2022">
                  <c:v>43229</c:v>
                </c:pt>
                <c:pt idx="2023">
                  <c:v>43228</c:v>
                </c:pt>
                <c:pt idx="2024">
                  <c:v>43227</c:v>
                </c:pt>
                <c:pt idx="2025">
                  <c:v>43224</c:v>
                </c:pt>
                <c:pt idx="2026">
                  <c:v>43223</c:v>
                </c:pt>
                <c:pt idx="2027">
                  <c:v>43222</c:v>
                </c:pt>
                <c:pt idx="2028">
                  <c:v>43221</c:v>
                </c:pt>
                <c:pt idx="2029">
                  <c:v>43220</c:v>
                </c:pt>
                <c:pt idx="2030">
                  <c:v>43217</c:v>
                </c:pt>
                <c:pt idx="2031">
                  <c:v>43216</c:v>
                </c:pt>
                <c:pt idx="2032">
                  <c:v>43215</c:v>
                </c:pt>
                <c:pt idx="2033">
                  <c:v>43214</c:v>
                </c:pt>
                <c:pt idx="2034">
                  <c:v>43213</c:v>
                </c:pt>
                <c:pt idx="2035">
                  <c:v>43210</c:v>
                </c:pt>
                <c:pt idx="2036">
                  <c:v>43209</c:v>
                </c:pt>
                <c:pt idx="2037">
                  <c:v>43208</c:v>
                </c:pt>
                <c:pt idx="2038">
                  <c:v>43207</c:v>
                </c:pt>
                <c:pt idx="2039">
                  <c:v>43206</c:v>
                </c:pt>
                <c:pt idx="2040">
                  <c:v>43203</c:v>
                </c:pt>
                <c:pt idx="2041">
                  <c:v>43202</c:v>
                </c:pt>
                <c:pt idx="2042">
                  <c:v>43201</c:v>
                </c:pt>
                <c:pt idx="2043">
                  <c:v>43200</c:v>
                </c:pt>
                <c:pt idx="2044">
                  <c:v>43199</c:v>
                </c:pt>
                <c:pt idx="2045">
                  <c:v>43196</c:v>
                </c:pt>
                <c:pt idx="2046">
                  <c:v>43195</c:v>
                </c:pt>
                <c:pt idx="2047">
                  <c:v>43194</c:v>
                </c:pt>
                <c:pt idx="2048">
                  <c:v>43193</c:v>
                </c:pt>
                <c:pt idx="2049">
                  <c:v>43192</c:v>
                </c:pt>
                <c:pt idx="2050">
                  <c:v>43188</c:v>
                </c:pt>
                <c:pt idx="2051">
                  <c:v>43187</c:v>
                </c:pt>
                <c:pt idx="2052">
                  <c:v>43186</c:v>
                </c:pt>
                <c:pt idx="2053">
                  <c:v>43185</c:v>
                </c:pt>
                <c:pt idx="2054">
                  <c:v>43182</c:v>
                </c:pt>
                <c:pt idx="2055">
                  <c:v>43181</c:v>
                </c:pt>
                <c:pt idx="2056">
                  <c:v>43180</c:v>
                </c:pt>
                <c:pt idx="2057">
                  <c:v>43179</c:v>
                </c:pt>
                <c:pt idx="2058">
                  <c:v>43178</c:v>
                </c:pt>
                <c:pt idx="2059">
                  <c:v>43175</c:v>
                </c:pt>
                <c:pt idx="2060">
                  <c:v>43174</c:v>
                </c:pt>
                <c:pt idx="2061">
                  <c:v>43173</c:v>
                </c:pt>
                <c:pt idx="2062">
                  <c:v>43172</c:v>
                </c:pt>
                <c:pt idx="2063">
                  <c:v>43171</c:v>
                </c:pt>
                <c:pt idx="2064">
                  <c:v>43168</c:v>
                </c:pt>
                <c:pt idx="2065">
                  <c:v>43167</c:v>
                </c:pt>
                <c:pt idx="2066">
                  <c:v>43166</c:v>
                </c:pt>
                <c:pt idx="2067">
                  <c:v>43165</c:v>
                </c:pt>
                <c:pt idx="2068">
                  <c:v>43164</c:v>
                </c:pt>
                <c:pt idx="2069">
                  <c:v>43161</c:v>
                </c:pt>
                <c:pt idx="2070">
                  <c:v>43160</c:v>
                </c:pt>
                <c:pt idx="2071">
                  <c:v>43159</c:v>
                </c:pt>
                <c:pt idx="2072">
                  <c:v>43158</c:v>
                </c:pt>
                <c:pt idx="2073">
                  <c:v>43157</c:v>
                </c:pt>
                <c:pt idx="2074">
                  <c:v>43154</c:v>
                </c:pt>
                <c:pt idx="2075">
                  <c:v>43153</c:v>
                </c:pt>
                <c:pt idx="2076">
                  <c:v>43152</c:v>
                </c:pt>
                <c:pt idx="2077">
                  <c:v>43151</c:v>
                </c:pt>
                <c:pt idx="2078">
                  <c:v>43147</c:v>
                </c:pt>
                <c:pt idx="2079">
                  <c:v>43146</c:v>
                </c:pt>
                <c:pt idx="2080">
                  <c:v>43145</c:v>
                </c:pt>
                <c:pt idx="2081">
                  <c:v>43144</c:v>
                </c:pt>
                <c:pt idx="2082">
                  <c:v>43143</c:v>
                </c:pt>
                <c:pt idx="2083">
                  <c:v>43140</c:v>
                </c:pt>
                <c:pt idx="2084">
                  <c:v>43139</c:v>
                </c:pt>
                <c:pt idx="2085">
                  <c:v>43138</c:v>
                </c:pt>
                <c:pt idx="2086">
                  <c:v>43137</c:v>
                </c:pt>
                <c:pt idx="2087">
                  <c:v>43136</c:v>
                </c:pt>
                <c:pt idx="2088">
                  <c:v>43133</c:v>
                </c:pt>
                <c:pt idx="2089">
                  <c:v>43132</c:v>
                </c:pt>
                <c:pt idx="2090">
                  <c:v>43131</c:v>
                </c:pt>
                <c:pt idx="2091">
                  <c:v>43130</c:v>
                </c:pt>
                <c:pt idx="2092">
                  <c:v>43129</c:v>
                </c:pt>
                <c:pt idx="2093">
                  <c:v>43126</c:v>
                </c:pt>
                <c:pt idx="2094">
                  <c:v>43125</c:v>
                </c:pt>
                <c:pt idx="2095">
                  <c:v>43124</c:v>
                </c:pt>
                <c:pt idx="2096">
                  <c:v>43123</c:v>
                </c:pt>
                <c:pt idx="2097">
                  <c:v>43122</c:v>
                </c:pt>
                <c:pt idx="2098">
                  <c:v>43119</c:v>
                </c:pt>
                <c:pt idx="2099">
                  <c:v>43118</c:v>
                </c:pt>
                <c:pt idx="2100">
                  <c:v>43117</c:v>
                </c:pt>
                <c:pt idx="2101">
                  <c:v>43116</c:v>
                </c:pt>
                <c:pt idx="2102">
                  <c:v>43112</c:v>
                </c:pt>
                <c:pt idx="2103">
                  <c:v>43111</c:v>
                </c:pt>
                <c:pt idx="2104">
                  <c:v>43110</c:v>
                </c:pt>
                <c:pt idx="2105">
                  <c:v>43109</c:v>
                </c:pt>
                <c:pt idx="2106">
                  <c:v>43108</c:v>
                </c:pt>
                <c:pt idx="2107">
                  <c:v>43105</c:v>
                </c:pt>
                <c:pt idx="2108">
                  <c:v>43104</c:v>
                </c:pt>
                <c:pt idx="2109">
                  <c:v>43103</c:v>
                </c:pt>
                <c:pt idx="2110">
                  <c:v>43102</c:v>
                </c:pt>
                <c:pt idx="2111">
                  <c:v>43098</c:v>
                </c:pt>
                <c:pt idx="2112">
                  <c:v>43097</c:v>
                </c:pt>
                <c:pt idx="2113">
                  <c:v>43096</c:v>
                </c:pt>
                <c:pt idx="2114">
                  <c:v>43095</c:v>
                </c:pt>
                <c:pt idx="2115">
                  <c:v>43091</c:v>
                </c:pt>
                <c:pt idx="2116">
                  <c:v>43090</c:v>
                </c:pt>
                <c:pt idx="2117">
                  <c:v>43089</c:v>
                </c:pt>
                <c:pt idx="2118">
                  <c:v>43088</c:v>
                </c:pt>
                <c:pt idx="2119">
                  <c:v>43087</c:v>
                </c:pt>
                <c:pt idx="2120">
                  <c:v>43084</c:v>
                </c:pt>
                <c:pt idx="2121">
                  <c:v>43083</c:v>
                </c:pt>
                <c:pt idx="2122">
                  <c:v>43082</c:v>
                </c:pt>
                <c:pt idx="2123">
                  <c:v>43081</c:v>
                </c:pt>
                <c:pt idx="2124">
                  <c:v>43080</c:v>
                </c:pt>
                <c:pt idx="2125">
                  <c:v>43077</c:v>
                </c:pt>
                <c:pt idx="2126">
                  <c:v>43076</c:v>
                </c:pt>
                <c:pt idx="2127">
                  <c:v>43075</c:v>
                </c:pt>
                <c:pt idx="2128">
                  <c:v>43074</c:v>
                </c:pt>
                <c:pt idx="2129">
                  <c:v>43073</c:v>
                </c:pt>
                <c:pt idx="2130">
                  <c:v>43070</c:v>
                </c:pt>
                <c:pt idx="2131">
                  <c:v>43069</c:v>
                </c:pt>
                <c:pt idx="2132">
                  <c:v>43068</c:v>
                </c:pt>
                <c:pt idx="2133">
                  <c:v>43067</c:v>
                </c:pt>
                <c:pt idx="2134">
                  <c:v>43066</c:v>
                </c:pt>
                <c:pt idx="2135">
                  <c:v>43063</c:v>
                </c:pt>
                <c:pt idx="2136">
                  <c:v>43061</c:v>
                </c:pt>
                <c:pt idx="2137">
                  <c:v>43060</c:v>
                </c:pt>
                <c:pt idx="2138">
                  <c:v>43059</c:v>
                </c:pt>
                <c:pt idx="2139">
                  <c:v>43056</c:v>
                </c:pt>
                <c:pt idx="2140">
                  <c:v>43055</c:v>
                </c:pt>
                <c:pt idx="2141">
                  <c:v>43054</c:v>
                </c:pt>
                <c:pt idx="2142">
                  <c:v>43053</c:v>
                </c:pt>
                <c:pt idx="2143">
                  <c:v>43052</c:v>
                </c:pt>
                <c:pt idx="2144">
                  <c:v>43049</c:v>
                </c:pt>
                <c:pt idx="2145">
                  <c:v>43048</c:v>
                </c:pt>
                <c:pt idx="2146">
                  <c:v>43047</c:v>
                </c:pt>
                <c:pt idx="2147">
                  <c:v>43046</c:v>
                </c:pt>
                <c:pt idx="2148">
                  <c:v>43045</c:v>
                </c:pt>
                <c:pt idx="2149">
                  <c:v>43042</c:v>
                </c:pt>
                <c:pt idx="2150">
                  <c:v>43041</c:v>
                </c:pt>
                <c:pt idx="2151">
                  <c:v>43040</c:v>
                </c:pt>
                <c:pt idx="2152">
                  <c:v>43039</c:v>
                </c:pt>
                <c:pt idx="2153">
                  <c:v>43038</c:v>
                </c:pt>
                <c:pt idx="2154">
                  <c:v>43035</c:v>
                </c:pt>
                <c:pt idx="2155">
                  <c:v>43034</c:v>
                </c:pt>
                <c:pt idx="2156">
                  <c:v>43033</c:v>
                </c:pt>
                <c:pt idx="2157">
                  <c:v>43032</c:v>
                </c:pt>
                <c:pt idx="2158">
                  <c:v>43031</c:v>
                </c:pt>
                <c:pt idx="2159">
                  <c:v>43028</c:v>
                </c:pt>
                <c:pt idx="2160">
                  <c:v>43027</c:v>
                </c:pt>
                <c:pt idx="2161">
                  <c:v>43026</c:v>
                </c:pt>
                <c:pt idx="2162">
                  <c:v>43025</c:v>
                </c:pt>
                <c:pt idx="2163">
                  <c:v>43024</c:v>
                </c:pt>
                <c:pt idx="2164">
                  <c:v>43021</c:v>
                </c:pt>
                <c:pt idx="2165">
                  <c:v>43020</c:v>
                </c:pt>
                <c:pt idx="2166">
                  <c:v>43019</c:v>
                </c:pt>
                <c:pt idx="2167">
                  <c:v>43018</c:v>
                </c:pt>
                <c:pt idx="2168">
                  <c:v>43017</c:v>
                </c:pt>
                <c:pt idx="2169">
                  <c:v>43014</c:v>
                </c:pt>
                <c:pt idx="2170">
                  <c:v>43013</c:v>
                </c:pt>
                <c:pt idx="2171">
                  <c:v>43012</c:v>
                </c:pt>
                <c:pt idx="2172">
                  <c:v>43011</c:v>
                </c:pt>
                <c:pt idx="2173">
                  <c:v>43010</c:v>
                </c:pt>
                <c:pt idx="2174">
                  <c:v>43007</c:v>
                </c:pt>
                <c:pt idx="2175">
                  <c:v>43006</c:v>
                </c:pt>
                <c:pt idx="2176">
                  <c:v>43005</c:v>
                </c:pt>
                <c:pt idx="2177">
                  <c:v>43004</c:v>
                </c:pt>
                <c:pt idx="2178">
                  <c:v>43003</c:v>
                </c:pt>
                <c:pt idx="2179">
                  <c:v>43000</c:v>
                </c:pt>
                <c:pt idx="2180">
                  <c:v>42999</c:v>
                </c:pt>
                <c:pt idx="2181">
                  <c:v>42998</c:v>
                </c:pt>
                <c:pt idx="2182">
                  <c:v>42997</c:v>
                </c:pt>
                <c:pt idx="2183">
                  <c:v>42996</c:v>
                </c:pt>
                <c:pt idx="2184">
                  <c:v>42993</c:v>
                </c:pt>
                <c:pt idx="2185">
                  <c:v>42992</c:v>
                </c:pt>
                <c:pt idx="2186">
                  <c:v>42991</c:v>
                </c:pt>
                <c:pt idx="2187">
                  <c:v>42990</c:v>
                </c:pt>
                <c:pt idx="2188">
                  <c:v>42989</c:v>
                </c:pt>
                <c:pt idx="2189">
                  <c:v>42986</c:v>
                </c:pt>
                <c:pt idx="2190">
                  <c:v>42985</c:v>
                </c:pt>
                <c:pt idx="2191">
                  <c:v>42984</c:v>
                </c:pt>
                <c:pt idx="2192">
                  <c:v>42983</c:v>
                </c:pt>
                <c:pt idx="2193">
                  <c:v>42979</c:v>
                </c:pt>
                <c:pt idx="2194">
                  <c:v>42978</c:v>
                </c:pt>
                <c:pt idx="2195">
                  <c:v>42977</c:v>
                </c:pt>
                <c:pt idx="2196">
                  <c:v>42976</c:v>
                </c:pt>
                <c:pt idx="2197">
                  <c:v>42975</c:v>
                </c:pt>
                <c:pt idx="2198">
                  <c:v>42972</c:v>
                </c:pt>
                <c:pt idx="2199">
                  <c:v>42971</c:v>
                </c:pt>
                <c:pt idx="2200">
                  <c:v>42970</c:v>
                </c:pt>
                <c:pt idx="2201">
                  <c:v>42969</c:v>
                </c:pt>
                <c:pt idx="2202">
                  <c:v>42968</c:v>
                </c:pt>
                <c:pt idx="2203">
                  <c:v>42965</c:v>
                </c:pt>
                <c:pt idx="2204">
                  <c:v>42964</c:v>
                </c:pt>
                <c:pt idx="2205">
                  <c:v>42963</c:v>
                </c:pt>
                <c:pt idx="2206">
                  <c:v>42962</c:v>
                </c:pt>
                <c:pt idx="2207">
                  <c:v>42961</c:v>
                </c:pt>
                <c:pt idx="2208">
                  <c:v>42958</c:v>
                </c:pt>
                <c:pt idx="2209">
                  <c:v>42957</c:v>
                </c:pt>
                <c:pt idx="2210">
                  <c:v>42956</c:v>
                </c:pt>
                <c:pt idx="2211">
                  <c:v>42955</c:v>
                </c:pt>
                <c:pt idx="2212">
                  <c:v>42954</c:v>
                </c:pt>
                <c:pt idx="2213">
                  <c:v>42951</c:v>
                </c:pt>
                <c:pt idx="2214">
                  <c:v>42950</c:v>
                </c:pt>
                <c:pt idx="2215">
                  <c:v>42949</c:v>
                </c:pt>
                <c:pt idx="2216">
                  <c:v>42948</c:v>
                </c:pt>
                <c:pt idx="2217">
                  <c:v>42947</c:v>
                </c:pt>
                <c:pt idx="2218">
                  <c:v>42944</c:v>
                </c:pt>
                <c:pt idx="2219">
                  <c:v>42943</c:v>
                </c:pt>
                <c:pt idx="2220">
                  <c:v>42942</c:v>
                </c:pt>
                <c:pt idx="2221">
                  <c:v>42941</c:v>
                </c:pt>
                <c:pt idx="2222">
                  <c:v>42940</c:v>
                </c:pt>
                <c:pt idx="2223">
                  <c:v>42937</c:v>
                </c:pt>
                <c:pt idx="2224">
                  <c:v>42936</c:v>
                </c:pt>
                <c:pt idx="2225">
                  <c:v>42935</c:v>
                </c:pt>
                <c:pt idx="2226">
                  <c:v>42934</c:v>
                </c:pt>
                <c:pt idx="2227">
                  <c:v>42933</c:v>
                </c:pt>
                <c:pt idx="2228">
                  <c:v>42930</c:v>
                </c:pt>
                <c:pt idx="2229">
                  <c:v>42929</c:v>
                </c:pt>
                <c:pt idx="2230">
                  <c:v>42928</c:v>
                </c:pt>
                <c:pt idx="2231">
                  <c:v>42927</c:v>
                </c:pt>
                <c:pt idx="2232">
                  <c:v>42926</c:v>
                </c:pt>
                <c:pt idx="2233">
                  <c:v>42923</c:v>
                </c:pt>
                <c:pt idx="2234">
                  <c:v>42922</c:v>
                </c:pt>
                <c:pt idx="2235">
                  <c:v>42921</c:v>
                </c:pt>
                <c:pt idx="2236">
                  <c:v>42919</c:v>
                </c:pt>
                <c:pt idx="2237">
                  <c:v>42916</c:v>
                </c:pt>
                <c:pt idx="2238">
                  <c:v>42915</c:v>
                </c:pt>
                <c:pt idx="2239">
                  <c:v>42914</c:v>
                </c:pt>
                <c:pt idx="2240">
                  <c:v>42913</c:v>
                </c:pt>
                <c:pt idx="2241">
                  <c:v>42912</c:v>
                </c:pt>
                <c:pt idx="2242">
                  <c:v>42909</c:v>
                </c:pt>
                <c:pt idx="2243">
                  <c:v>42908</c:v>
                </c:pt>
                <c:pt idx="2244">
                  <c:v>42907</c:v>
                </c:pt>
                <c:pt idx="2245">
                  <c:v>42906</c:v>
                </c:pt>
                <c:pt idx="2246">
                  <c:v>42905</c:v>
                </c:pt>
                <c:pt idx="2247">
                  <c:v>42902</c:v>
                </c:pt>
                <c:pt idx="2248">
                  <c:v>42901</c:v>
                </c:pt>
                <c:pt idx="2249">
                  <c:v>42900</c:v>
                </c:pt>
                <c:pt idx="2250">
                  <c:v>42899</c:v>
                </c:pt>
                <c:pt idx="2251">
                  <c:v>42898</c:v>
                </c:pt>
                <c:pt idx="2252">
                  <c:v>42895</c:v>
                </c:pt>
                <c:pt idx="2253">
                  <c:v>42894</c:v>
                </c:pt>
                <c:pt idx="2254">
                  <c:v>42893</c:v>
                </c:pt>
                <c:pt idx="2255">
                  <c:v>42892</c:v>
                </c:pt>
                <c:pt idx="2256">
                  <c:v>42891</c:v>
                </c:pt>
                <c:pt idx="2257">
                  <c:v>42888</c:v>
                </c:pt>
                <c:pt idx="2258">
                  <c:v>42887</c:v>
                </c:pt>
                <c:pt idx="2259">
                  <c:v>42886</c:v>
                </c:pt>
                <c:pt idx="2260">
                  <c:v>42885</c:v>
                </c:pt>
                <c:pt idx="2261">
                  <c:v>42881</c:v>
                </c:pt>
                <c:pt idx="2262">
                  <c:v>42880</c:v>
                </c:pt>
                <c:pt idx="2263">
                  <c:v>42879</c:v>
                </c:pt>
                <c:pt idx="2264">
                  <c:v>42878</c:v>
                </c:pt>
                <c:pt idx="2265">
                  <c:v>42877</c:v>
                </c:pt>
                <c:pt idx="2266">
                  <c:v>42874</c:v>
                </c:pt>
                <c:pt idx="2267">
                  <c:v>42873</c:v>
                </c:pt>
                <c:pt idx="2268">
                  <c:v>42872</c:v>
                </c:pt>
                <c:pt idx="2269">
                  <c:v>42871</c:v>
                </c:pt>
                <c:pt idx="2270">
                  <c:v>42870</c:v>
                </c:pt>
                <c:pt idx="2271">
                  <c:v>42867</c:v>
                </c:pt>
                <c:pt idx="2272">
                  <c:v>42866</c:v>
                </c:pt>
                <c:pt idx="2273">
                  <c:v>42865</c:v>
                </c:pt>
                <c:pt idx="2274">
                  <c:v>42864</c:v>
                </c:pt>
                <c:pt idx="2275">
                  <c:v>42863</c:v>
                </c:pt>
                <c:pt idx="2276">
                  <c:v>42860</c:v>
                </c:pt>
                <c:pt idx="2277">
                  <c:v>42859</c:v>
                </c:pt>
                <c:pt idx="2278">
                  <c:v>42858</c:v>
                </c:pt>
                <c:pt idx="2279">
                  <c:v>42857</c:v>
                </c:pt>
                <c:pt idx="2280">
                  <c:v>42856</c:v>
                </c:pt>
                <c:pt idx="2281">
                  <c:v>42853</c:v>
                </c:pt>
                <c:pt idx="2282">
                  <c:v>42852</c:v>
                </c:pt>
                <c:pt idx="2283">
                  <c:v>42851</c:v>
                </c:pt>
                <c:pt idx="2284">
                  <c:v>42850</c:v>
                </c:pt>
                <c:pt idx="2285">
                  <c:v>42849</c:v>
                </c:pt>
                <c:pt idx="2286">
                  <c:v>42846</c:v>
                </c:pt>
                <c:pt idx="2287">
                  <c:v>42845</c:v>
                </c:pt>
                <c:pt idx="2288">
                  <c:v>42844</c:v>
                </c:pt>
                <c:pt idx="2289">
                  <c:v>42843</c:v>
                </c:pt>
                <c:pt idx="2290">
                  <c:v>42842</c:v>
                </c:pt>
                <c:pt idx="2291">
                  <c:v>42838</c:v>
                </c:pt>
                <c:pt idx="2292">
                  <c:v>42837</c:v>
                </c:pt>
                <c:pt idx="2293">
                  <c:v>42836</c:v>
                </c:pt>
                <c:pt idx="2294">
                  <c:v>42835</c:v>
                </c:pt>
                <c:pt idx="2295">
                  <c:v>42832</c:v>
                </c:pt>
                <c:pt idx="2296">
                  <c:v>42831</c:v>
                </c:pt>
                <c:pt idx="2297">
                  <c:v>42830</c:v>
                </c:pt>
                <c:pt idx="2298">
                  <c:v>42829</c:v>
                </c:pt>
                <c:pt idx="2299">
                  <c:v>42828</c:v>
                </c:pt>
                <c:pt idx="2300">
                  <c:v>42825</c:v>
                </c:pt>
                <c:pt idx="2301">
                  <c:v>42824</c:v>
                </c:pt>
                <c:pt idx="2302">
                  <c:v>42823</c:v>
                </c:pt>
                <c:pt idx="2303">
                  <c:v>42822</c:v>
                </c:pt>
                <c:pt idx="2304">
                  <c:v>42821</c:v>
                </c:pt>
                <c:pt idx="2305">
                  <c:v>42818</c:v>
                </c:pt>
                <c:pt idx="2306">
                  <c:v>42817</c:v>
                </c:pt>
                <c:pt idx="2307">
                  <c:v>42816</c:v>
                </c:pt>
                <c:pt idx="2308">
                  <c:v>42815</c:v>
                </c:pt>
                <c:pt idx="2309">
                  <c:v>42814</c:v>
                </c:pt>
                <c:pt idx="2310">
                  <c:v>42811</c:v>
                </c:pt>
                <c:pt idx="2311">
                  <c:v>42810</c:v>
                </c:pt>
                <c:pt idx="2312">
                  <c:v>42809</c:v>
                </c:pt>
                <c:pt idx="2313">
                  <c:v>42808</c:v>
                </c:pt>
                <c:pt idx="2314">
                  <c:v>42807</c:v>
                </c:pt>
                <c:pt idx="2315">
                  <c:v>42804</c:v>
                </c:pt>
                <c:pt idx="2316">
                  <c:v>42803</c:v>
                </c:pt>
                <c:pt idx="2317">
                  <c:v>42802</c:v>
                </c:pt>
                <c:pt idx="2318">
                  <c:v>42801</c:v>
                </c:pt>
                <c:pt idx="2319">
                  <c:v>42800</c:v>
                </c:pt>
                <c:pt idx="2320">
                  <c:v>42797</c:v>
                </c:pt>
                <c:pt idx="2321">
                  <c:v>42796</c:v>
                </c:pt>
                <c:pt idx="2322">
                  <c:v>42795</c:v>
                </c:pt>
                <c:pt idx="2323">
                  <c:v>42794</c:v>
                </c:pt>
                <c:pt idx="2324">
                  <c:v>42793</c:v>
                </c:pt>
                <c:pt idx="2325">
                  <c:v>42790</c:v>
                </c:pt>
                <c:pt idx="2326">
                  <c:v>42789</c:v>
                </c:pt>
                <c:pt idx="2327">
                  <c:v>42788</c:v>
                </c:pt>
                <c:pt idx="2328">
                  <c:v>42787</c:v>
                </c:pt>
                <c:pt idx="2329">
                  <c:v>42783</c:v>
                </c:pt>
                <c:pt idx="2330">
                  <c:v>42782</c:v>
                </c:pt>
                <c:pt idx="2331">
                  <c:v>42781</c:v>
                </c:pt>
                <c:pt idx="2332">
                  <c:v>42780</c:v>
                </c:pt>
                <c:pt idx="2333">
                  <c:v>42779</c:v>
                </c:pt>
                <c:pt idx="2334">
                  <c:v>42776</c:v>
                </c:pt>
                <c:pt idx="2335">
                  <c:v>42775</c:v>
                </c:pt>
                <c:pt idx="2336">
                  <c:v>42774</c:v>
                </c:pt>
                <c:pt idx="2337">
                  <c:v>42773</c:v>
                </c:pt>
                <c:pt idx="2338">
                  <c:v>42772</c:v>
                </c:pt>
                <c:pt idx="2339">
                  <c:v>42769</c:v>
                </c:pt>
                <c:pt idx="2340">
                  <c:v>42768</c:v>
                </c:pt>
                <c:pt idx="2341">
                  <c:v>42767</c:v>
                </c:pt>
                <c:pt idx="2342">
                  <c:v>42766</c:v>
                </c:pt>
                <c:pt idx="2343">
                  <c:v>42765</c:v>
                </c:pt>
                <c:pt idx="2344">
                  <c:v>42762</c:v>
                </c:pt>
                <c:pt idx="2345">
                  <c:v>42761</c:v>
                </c:pt>
                <c:pt idx="2346">
                  <c:v>42760</c:v>
                </c:pt>
                <c:pt idx="2347">
                  <c:v>42759</c:v>
                </c:pt>
                <c:pt idx="2348">
                  <c:v>42758</c:v>
                </c:pt>
                <c:pt idx="2349">
                  <c:v>42755</c:v>
                </c:pt>
                <c:pt idx="2350">
                  <c:v>42754</c:v>
                </c:pt>
                <c:pt idx="2351">
                  <c:v>42753</c:v>
                </c:pt>
                <c:pt idx="2352">
                  <c:v>42752</c:v>
                </c:pt>
                <c:pt idx="2353">
                  <c:v>42748</c:v>
                </c:pt>
                <c:pt idx="2354">
                  <c:v>42747</c:v>
                </c:pt>
                <c:pt idx="2355">
                  <c:v>42746</c:v>
                </c:pt>
                <c:pt idx="2356">
                  <c:v>42745</c:v>
                </c:pt>
                <c:pt idx="2357">
                  <c:v>42744</c:v>
                </c:pt>
                <c:pt idx="2358">
                  <c:v>42741</c:v>
                </c:pt>
                <c:pt idx="2359">
                  <c:v>42740</c:v>
                </c:pt>
                <c:pt idx="2360">
                  <c:v>42739</c:v>
                </c:pt>
                <c:pt idx="2361">
                  <c:v>42738</c:v>
                </c:pt>
                <c:pt idx="2362">
                  <c:v>42734</c:v>
                </c:pt>
                <c:pt idx="2363">
                  <c:v>42733</c:v>
                </c:pt>
                <c:pt idx="2364">
                  <c:v>42732</c:v>
                </c:pt>
                <c:pt idx="2365">
                  <c:v>42731</c:v>
                </c:pt>
                <c:pt idx="2366">
                  <c:v>42727</c:v>
                </c:pt>
                <c:pt idx="2367">
                  <c:v>42726</c:v>
                </c:pt>
                <c:pt idx="2368">
                  <c:v>42725</c:v>
                </c:pt>
                <c:pt idx="2369">
                  <c:v>42724</c:v>
                </c:pt>
                <c:pt idx="2370">
                  <c:v>42723</c:v>
                </c:pt>
                <c:pt idx="2371">
                  <c:v>42720</c:v>
                </c:pt>
                <c:pt idx="2372">
                  <c:v>42719</c:v>
                </c:pt>
                <c:pt idx="2373">
                  <c:v>42718</c:v>
                </c:pt>
                <c:pt idx="2374">
                  <c:v>42717</c:v>
                </c:pt>
                <c:pt idx="2375">
                  <c:v>42716</c:v>
                </c:pt>
                <c:pt idx="2376">
                  <c:v>42713</c:v>
                </c:pt>
                <c:pt idx="2377">
                  <c:v>42712</c:v>
                </c:pt>
                <c:pt idx="2378">
                  <c:v>42711</c:v>
                </c:pt>
                <c:pt idx="2379">
                  <c:v>42710</c:v>
                </c:pt>
                <c:pt idx="2380">
                  <c:v>42709</c:v>
                </c:pt>
                <c:pt idx="2381">
                  <c:v>42706</c:v>
                </c:pt>
                <c:pt idx="2382">
                  <c:v>42705</c:v>
                </c:pt>
                <c:pt idx="2383">
                  <c:v>42704</c:v>
                </c:pt>
                <c:pt idx="2384">
                  <c:v>42703</c:v>
                </c:pt>
                <c:pt idx="2385">
                  <c:v>42702</c:v>
                </c:pt>
                <c:pt idx="2386">
                  <c:v>42699</c:v>
                </c:pt>
                <c:pt idx="2387">
                  <c:v>42697</c:v>
                </c:pt>
                <c:pt idx="2388">
                  <c:v>42696</c:v>
                </c:pt>
                <c:pt idx="2389">
                  <c:v>42695</c:v>
                </c:pt>
                <c:pt idx="2390">
                  <c:v>42692</c:v>
                </c:pt>
                <c:pt idx="2391">
                  <c:v>42691</c:v>
                </c:pt>
                <c:pt idx="2392">
                  <c:v>42690</c:v>
                </c:pt>
                <c:pt idx="2393">
                  <c:v>42689</c:v>
                </c:pt>
                <c:pt idx="2394">
                  <c:v>42688</c:v>
                </c:pt>
                <c:pt idx="2395">
                  <c:v>42685</c:v>
                </c:pt>
                <c:pt idx="2396">
                  <c:v>42684</c:v>
                </c:pt>
                <c:pt idx="2397">
                  <c:v>42683</c:v>
                </c:pt>
                <c:pt idx="2398">
                  <c:v>42682</c:v>
                </c:pt>
                <c:pt idx="2399">
                  <c:v>42681</c:v>
                </c:pt>
                <c:pt idx="2400">
                  <c:v>42678</c:v>
                </c:pt>
                <c:pt idx="2401">
                  <c:v>42677</c:v>
                </c:pt>
                <c:pt idx="2402">
                  <c:v>42676</c:v>
                </c:pt>
                <c:pt idx="2403">
                  <c:v>42675</c:v>
                </c:pt>
                <c:pt idx="2404">
                  <c:v>42674</c:v>
                </c:pt>
                <c:pt idx="2405">
                  <c:v>42671</c:v>
                </c:pt>
                <c:pt idx="2406">
                  <c:v>42670</c:v>
                </c:pt>
                <c:pt idx="2407">
                  <c:v>42669</c:v>
                </c:pt>
                <c:pt idx="2408">
                  <c:v>42668</c:v>
                </c:pt>
                <c:pt idx="2409">
                  <c:v>42667</c:v>
                </c:pt>
                <c:pt idx="2410">
                  <c:v>42664</c:v>
                </c:pt>
                <c:pt idx="2411">
                  <c:v>42663</c:v>
                </c:pt>
                <c:pt idx="2412">
                  <c:v>42662</c:v>
                </c:pt>
                <c:pt idx="2413">
                  <c:v>42661</c:v>
                </c:pt>
                <c:pt idx="2414">
                  <c:v>42660</c:v>
                </c:pt>
                <c:pt idx="2415">
                  <c:v>42657</c:v>
                </c:pt>
                <c:pt idx="2416">
                  <c:v>42656</c:v>
                </c:pt>
                <c:pt idx="2417">
                  <c:v>42655</c:v>
                </c:pt>
                <c:pt idx="2418">
                  <c:v>42654</c:v>
                </c:pt>
                <c:pt idx="2419">
                  <c:v>42653</c:v>
                </c:pt>
                <c:pt idx="2420">
                  <c:v>42650</c:v>
                </c:pt>
                <c:pt idx="2421">
                  <c:v>42649</c:v>
                </c:pt>
                <c:pt idx="2422">
                  <c:v>42648</c:v>
                </c:pt>
                <c:pt idx="2423">
                  <c:v>42647</c:v>
                </c:pt>
                <c:pt idx="2424">
                  <c:v>42646</c:v>
                </c:pt>
                <c:pt idx="2425">
                  <c:v>42643</c:v>
                </c:pt>
                <c:pt idx="2426">
                  <c:v>42642</c:v>
                </c:pt>
                <c:pt idx="2427">
                  <c:v>42641</c:v>
                </c:pt>
                <c:pt idx="2428">
                  <c:v>42640</c:v>
                </c:pt>
                <c:pt idx="2429">
                  <c:v>42639</c:v>
                </c:pt>
                <c:pt idx="2430">
                  <c:v>42636</c:v>
                </c:pt>
                <c:pt idx="2431">
                  <c:v>42635</c:v>
                </c:pt>
                <c:pt idx="2432">
                  <c:v>42634</c:v>
                </c:pt>
                <c:pt idx="2433">
                  <c:v>42633</c:v>
                </c:pt>
                <c:pt idx="2434">
                  <c:v>42632</c:v>
                </c:pt>
                <c:pt idx="2435">
                  <c:v>42629</c:v>
                </c:pt>
                <c:pt idx="2436">
                  <c:v>42628</c:v>
                </c:pt>
                <c:pt idx="2437">
                  <c:v>42627</c:v>
                </c:pt>
                <c:pt idx="2438">
                  <c:v>42626</c:v>
                </c:pt>
                <c:pt idx="2439">
                  <c:v>42625</c:v>
                </c:pt>
                <c:pt idx="2440">
                  <c:v>42622</c:v>
                </c:pt>
                <c:pt idx="2441">
                  <c:v>42621</c:v>
                </c:pt>
                <c:pt idx="2442">
                  <c:v>42620</c:v>
                </c:pt>
                <c:pt idx="2443">
                  <c:v>42619</c:v>
                </c:pt>
                <c:pt idx="2444">
                  <c:v>42615</c:v>
                </c:pt>
                <c:pt idx="2445">
                  <c:v>42614</c:v>
                </c:pt>
                <c:pt idx="2446">
                  <c:v>42613</c:v>
                </c:pt>
                <c:pt idx="2447">
                  <c:v>42612</c:v>
                </c:pt>
                <c:pt idx="2448">
                  <c:v>42611</c:v>
                </c:pt>
                <c:pt idx="2449">
                  <c:v>42608</c:v>
                </c:pt>
                <c:pt idx="2450">
                  <c:v>42607</c:v>
                </c:pt>
                <c:pt idx="2451">
                  <c:v>42606</c:v>
                </c:pt>
                <c:pt idx="2452">
                  <c:v>42605</c:v>
                </c:pt>
                <c:pt idx="2453">
                  <c:v>42604</c:v>
                </c:pt>
                <c:pt idx="2454">
                  <c:v>42601</c:v>
                </c:pt>
                <c:pt idx="2455">
                  <c:v>42600</c:v>
                </c:pt>
                <c:pt idx="2456">
                  <c:v>42599</c:v>
                </c:pt>
                <c:pt idx="2457">
                  <c:v>42598</c:v>
                </c:pt>
                <c:pt idx="2458">
                  <c:v>42597</c:v>
                </c:pt>
                <c:pt idx="2459">
                  <c:v>42594</c:v>
                </c:pt>
                <c:pt idx="2460">
                  <c:v>42593</c:v>
                </c:pt>
                <c:pt idx="2461">
                  <c:v>42592</c:v>
                </c:pt>
                <c:pt idx="2462">
                  <c:v>42591</c:v>
                </c:pt>
                <c:pt idx="2463">
                  <c:v>42590</c:v>
                </c:pt>
                <c:pt idx="2464">
                  <c:v>42587</c:v>
                </c:pt>
                <c:pt idx="2465">
                  <c:v>42586</c:v>
                </c:pt>
                <c:pt idx="2466">
                  <c:v>42585</c:v>
                </c:pt>
                <c:pt idx="2467">
                  <c:v>42584</c:v>
                </c:pt>
                <c:pt idx="2468">
                  <c:v>42583</c:v>
                </c:pt>
                <c:pt idx="2469">
                  <c:v>42580</c:v>
                </c:pt>
                <c:pt idx="2470">
                  <c:v>42579</c:v>
                </c:pt>
                <c:pt idx="2471">
                  <c:v>42578</c:v>
                </c:pt>
                <c:pt idx="2472">
                  <c:v>42577</c:v>
                </c:pt>
                <c:pt idx="2473">
                  <c:v>42576</c:v>
                </c:pt>
                <c:pt idx="2474">
                  <c:v>42573</c:v>
                </c:pt>
                <c:pt idx="2475">
                  <c:v>42572</c:v>
                </c:pt>
                <c:pt idx="2476">
                  <c:v>42571</c:v>
                </c:pt>
                <c:pt idx="2477">
                  <c:v>42570</c:v>
                </c:pt>
                <c:pt idx="2478">
                  <c:v>42569</c:v>
                </c:pt>
                <c:pt idx="2479">
                  <c:v>42566</c:v>
                </c:pt>
                <c:pt idx="2480">
                  <c:v>42565</c:v>
                </c:pt>
                <c:pt idx="2481">
                  <c:v>42564</c:v>
                </c:pt>
                <c:pt idx="2482">
                  <c:v>42563</c:v>
                </c:pt>
                <c:pt idx="2483">
                  <c:v>42562</c:v>
                </c:pt>
                <c:pt idx="2484">
                  <c:v>42559</c:v>
                </c:pt>
                <c:pt idx="2485">
                  <c:v>42558</c:v>
                </c:pt>
                <c:pt idx="2486">
                  <c:v>42557</c:v>
                </c:pt>
                <c:pt idx="2487">
                  <c:v>42556</c:v>
                </c:pt>
                <c:pt idx="2488">
                  <c:v>42552</c:v>
                </c:pt>
                <c:pt idx="2489">
                  <c:v>42551</c:v>
                </c:pt>
                <c:pt idx="2490">
                  <c:v>42550</c:v>
                </c:pt>
                <c:pt idx="2491">
                  <c:v>42549</c:v>
                </c:pt>
                <c:pt idx="2492">
                  <c:v>42548</c:v>
                </c:pt>
                <c:pt idx="2493">
                  <c:v>42545</c:v>
                </c:pt>
                <c:pt idx="2494">
                  <c:v>42544</c:v>
                </c:pt>
                <c:pt idx="2495">
                  <c:v>42543</c:v>
                </c:pt>
                <c:pt idx="2496">
                  <c:v>42542</c:v>
                </c:pt>
                <c:pt idx="2497">
                  <c:v>42541</c:v>
                </c:pt>
                <c:pt idx="2498">
                  <c:v>42538</c:v>
                </c:pt>
                <c:pt idx="2499">
                  <c:v>42537</c:v>
                </c:pt>
                <c:pt idx="2500">
                  <c:v>42536</c:v>
                </c:pt>
                <c:pt idx="2501">
                  <c:v>42535</c:v>
                </c:pt>
                <c:pt idx="2502">
                  <c:v>42534</c:v>
                </c:pt>
                <c:pt idx="2503">
                  <c:v>42531</c:v>
                </c:pt>
                <c:pt idx="2504">
                  <c:v>42530</c:v>
                </c:pt>
                <c:pt idx="2505">
                  <c:v>42529</c:v>
                </c:pt>
                <c:pt idx="2506">
                  <c:v>42528</c:v>
                </c:pt>
                <c:pt idx="2507">
                  <c:v>42527</c:v>
                </c:pt>
                <c:pt idx="2508">
                  <c:v>42524</c:v>
                </c:pt>
                <c:pt idx="2509">
                  <c:v>42523</c:v>
                </c:pt>
                <c:pt idx="2510">
                  <c:v>42522</c:v>
                </c:pt>
                <c:pt idx="2511">
                  <c:v>42521</c:v>
                </c:pt>
                <c:pt idx="2512">
                  <c:v>42517</c:v>
                </c:pt>
                <c:pt idx="2513">
                  <c:v>42516</c:v>
                </c:pt>
                <c:pt idx="2514">
                  <c:v>42515</c:v>
                </c:pt>
                <c:pt idx="2515">
                  <c:v>42514</c:v>
                </c:pt>
                <c:pt idx="2516">
                  <c:v>42513</c:v>
                </c:pt>
                <c:pt idx="2517">
                  <c:v>42510</c:v>
                </c:pt>
                <c:pt idx="2518">
                  <c:v>42509</c:v>
                </c:pt>
                <c:pt idx="2519">
                  <c:v>42508</c:v>
                </c:pt>
                <c:pt idx="2520">
                  <c:v>42507</c:v>
                </c:pt>
                <c:pt idx="2521">
                  <c:v>42506</c:v>
                </c:pt>
                <c:pt idx="2522">
                  <c:v>42503</c:v>
                </c:pt>
                <c:pt idx="2523">
                  <c:v>42502</c:v>
                </c:pt>
                <c:pt idx="2524">
                  <c:v>42501</c:v>
                </c:pt>
                <c:pt idx="2525">
                  <c:v>42500</c:v>
                </c:pt>
                <c:pt idx="2526">
                  <c:v>42499</c:v>
                </c:pt>
                <c:pt idx="2527">
                  <c:v>42496</c:v>
                </c:pt>
                <c:pt idx="2528">
                  <c:v>42495</c:v>
                </c:pt>
                <c:pt idx="2529">
                  <c:v>42494</c:v>
                </c:pt>
                <c:pt idx="2530">
                  <c:v>42493</c:v>
                </c:pt>
                <c:pt idx="2531">
                  <c:v>42492</c:v>
                </c:pt>
                <c:pt idx="2532">
                  <c:v>42489</c:v>
                </c:pt>
                <c:pt idx="2533">
                  <c:v>42488</c:v>
                </c:pt>
                <c:pt idx="2534">
                  <c:v>42487</c:v>
                </c:pt>
                <c:pt idx="2535">
                  <c:v>42486</c:v>
                </c:pt>
                <c:pt idx="2536">
                  <c:v>42485</c:v>
                </c:pt>
                <c:pt idx="2537">
                  <c:v>42482</c:v>
                </c:pt>
                <c:pt idx="2538">
                  <c:v>42481</c:v>
                </c:pt>
                <c:pt idx="2539">
                  <c:v>42480</c:v>
                </c:pt>
                <c:pt idx="2540">
                  <c:v>42479</c:v>
                </c:pt>
                <c:pt idx="2541">
                  <c:v>42478</c:v>
                </c:pt>
                <c:pt idx="2542">
                  <c:v>42475</c:v>
                </c:pt>
                <c:pt idx="2543">
                  <c:v>42474</c:v>
                </c:pt>
                <c:pt idx="2544">
                  <c:v>42473</c:v>
                </c:pt>
                <c:pt idx="2545">
                  <c:v>42472</c:v>
                </c:pt>
                <c:pt idx="2546">
                  <c:v>42471</c:v>
                </c:pt>
                <c:pt idx="2547">
                  <c:v>42468</c:v>
                </c:pt>
                <c:pt idx="2548">
                  <c:v>42467</c:v>
                </c:pt>
                <c:pt idx="2549">
                  <c:v>42466</c:v>
                </c:pt>
                <c:pt idx="2550">
                  <c:v>42465</c:v>
                </c:pt>
                <c:pt idx="2551">
                  <c:v>42464</c:v>
                </c:pt>
                <c:pt idx="2552">
                  <c:v>42461</c:v>
                </c:pt>
                <c:pt idx="2553">
                  <c:v>42460</c:v>
                </c:pt>
                <c:pt idx="2554">
                  <c:v>42459</c:v>
                </c:pt>
                <c:pt idx="2555">
                  <c:v>42458</c:v>
                </c:pt>
                <c:pt idx="2556">
                  <c:v>42457</c:v>
                </c:pt>
                <c:pt idx="2557">
                  <c:v>42453</c:v>
                </c:pt>
                <c:pt idx="2558">
                  <c:v>42452</c:v>
                </c:pt>
                <c:pt idx="2559">
                  <c:v>42451</c:v>
                </c:pt>
                <c:pt idx="2560">
                  <c:v>42450</c:v>
                </c:pt>
                <c:pt idx="2561">
                  <c:v>42447</c:v>
                </c:pt>
                <c:pt idx="2562">
                  <c:v>42446</c:v>
                </c:pt>
                <c:pt idx="2563">
                  <c:v>42445</c:v>
                </c:pt>
                <c:pt idx="2564">
                  <c:v>42444</c:v>
                </c:pt>
                <c:pt idx="2565">
                  <c:v>42443</c:v>
                </c:pt>
                <c:pt idx="2566">
                  <c:v>42440</c:v>
                </c:pt>
                <c:pt idx="2567">
                  <c:v>42439</c:v>
                </c:pt>
                <c:pt idx="2568">
                  <c:v>42438</c:v>
                </c:pt>
                <c:pt idx="2569">
                  <c:v>42437</c:v>
                </c:pt>
                <c:pt idx="2570">
                  <c:v>42436</c:v>
                </c:pt>
                <c:pt idx="2571">
                  <c:v>42433</c:v>
                </c:pt>
                <c:pt idx="2572">
                  <c:v>42432</c:v>
                </c:pt>
                <c:pt idx="2573">
                  <c:v>42431</c:v>
                </c:pt>
                <c:pt idx="2574">
                  <c:v>42430</c:v>
                </c:pt>
                <c:pt idx="2575">
                  <c:v>42429</c:v>
                </c:pt>
                <c:pt idx="2576">
                  <c:v>42426</c:v>
                </c:pt>
                <c:pt idx="2577">
                  <c:v>42425</c:v>
                </c:pt>
                <c:pt idx="2578">
                  <c:v>42424</c:v>
                </c:pt>
                <c:pt idx="2579">
                  <c:v>42423</c:v>
                </c:pt>
                <c:pt idx="2580">
                  <c:v>42422</c:v>
                </c:pt>
                <c:pt idx="2581">
                  <c:v>42419</c:v>
                </c:pt>
                <c:pt idx="2582">
                  <c:v>42418</c:v>
                </c:pt>
                <c:pt idx="2583">
                  <c:v>42417</c:v>
                </c:pt>
                <c:pt idx="2584">
                  <c:v>42416</c:v>
                </c:pt>
                <c:pt idx="2585">
                  <c:v>42412</c:v>
                </c:pt>
                <c:pt idx="2586">
                  <c:v>42411</c:v>
                </c:pt>
                <c:pt idx="2587">
                  <c:v>42410</c:v>
                </c:pt>
                <c:pt idx="2588">
                  <c:v>42409</c:v>
                </c:pt>
                <c:pt idx="2589">
                  <c:v>42408</c:v>
                </c:pt>
                <c:pt idx="2590">
                  <c:v>42405</c:v>
                </c:pt>
                <c:pt idx="2591">
                  <c:v>42404</c:v>
                </c:pt>
                <c:pt idx="2592">
                  <c:v>42403</c:v>
                </c:pt>
                <c:pt idx="2593">
                  <c:v>42402</c:v>
                </c:pt>
                <c:pt idx="2594">
                  <c:v>42401</c:v>
                </c:pt>
                <c:pt idx="2595">
                  <c:v>42398</c:v>
                </c:pt>
                <c:pt idx="2596">
                  <c:v>42397</c:v>
                </c:pt>
                <c:pt idx="2597">
                  <c:v>42396</c:v>
                </c:pt>
                <c:pt idx="2598">
                  <c:v>42395</c:v>
                </c:pt>
                <c:pt idx="2599">
                  <c:v>42394</c:v>
                </c:pt>
                <c:pt idx="2600">
                  <c:v>42391</c:v>
                </c:pt>
                <c:pt idx="2601">
                  <c:v>42390</c:v>
                </c:pt>
                <c:pt idx="2602">
                  <c:v>42389</c:v>
                </c:pt>
                <c:pt idx="2603">
                  <c:v>42388</c:v>
                </c:pt>
                <c:pt idx="2604">
                  <c:v>42384</c:v>
                </c:pt>
                <c:pt idx="2605">
                  <c:v>42383</c:v>
                </c:pt>
                <c:pt idx="2606">
                  <c:v>42382</c:v>
                </c:pt>
                <c:pt idx="2607">
                  <c:v>42381</c:v>
                </c:pt>
                <c:pt idx="2608">
                  <c:v>42380</c:v>
                </c:pt>
                <c:pt idx="2609">
                  <c:v>42377</c:v>
                </c:pt>
                <c:pt idx="2610">
                  <c:v>42376</c:v>
                </c:pt>
                <c:pt idx="2611">
                  <c:v>42375</c:v>
                </c:pt>
                <c:pt idx="2612">
                  <c:v>42374</c:v>
                </c:pt>
                <c:pt idx="2613">
                  <c:v>42373</c:v>
                </c:pt>
                <c:pt idx="2614">
                  <c:v>42369</c:v>
                </c:pt>
                <c:pt idx="2615">
                  <c:v>42368</c:v>
                </c:pt>
                <c:pt idx="2616">
                  <c:v>42367</c:v>
                </c:pt>
                <c:pt idx="2617">
                  <c:v>42366</c:v>
                </c:pt>
                <c:pt idx="2618">
                  <c:v>42362</c:v>
                </c:pt>
                <c:pt idx="2619">
                  <c:v>42361</c:v>
                </c:pt>
                <c:pt idx="2620">
                  <c:v>42360</c:v>
                </c:pt>
                <c:pt idx="2621">
                  <c:v>42359</c:v>
                </c:pt>
                <c:pt idx="2622">
                  <c:v>42356</c:v>
                </c:pt>
                <c:pt idx="2623">
                  <c:v>42355</c:v>
                </c:pt>
                <c:pt idx="2624">
                  <c:v>42354</c:v>
                </c:pt>
                <c:pt idx="2625">
                  <c:v>42353</c:v>
                </c:pt>
                <c:pt idx="2626">
                  <c:v>42352</c:v>
                </c:pt>
                <c:pt idx="2627">
                  <c:v>42349</c:v>
                </c:pt>
                <c:pt idx="2628">
                  <c:v>42348</c:v>
                </c:pt>
                <c:pt idx="2629">
                  <c:v>42347</c:v>
                </c:pt>
                <c:pt idx="2630">
                  <c:v>42346</c:v>
                </c:pt>
                <c:pt idx="2631">
                  <c:v>42345</c:v>
                </c:pt>
                <c:pt idx="2632">
                  <c:v>42342</c:v>
                </c:pt>
                <c:pt idx="2633">
                  <c:v>42341</c:v>
                </c:pt>
                <c:pt idx="2634">
                  <c:v>42340</c:v>
                </c:pt>
                <c:pt idx="2635">
                  <c:v>42339</c:v>
                </c:pt>
                <c:pt idx="2636">
                  <c:v>42338</c:v>
                </c:pt>
                <c:pt idx="2637">
                  <c:v>42335</c:v>
                </c:pt>
                <c:pt idx="2638">
                  <c:v>42333</c:v>
                </c:pt>
                <c:pt idx="2639">
                  <c:v>42332</c:v>
                </c:pt>
                <c:pt idx="2640">
                  <c:v>42331</c:v>
                </c:pt>
                <c:pt idx="2641">
                  <c:v>42328</c:v>
                </c:pt>
                <c:pt idx="2642">
                  <c:v>42327</c:v>
                </c:pt>
                <c:pt idx="2643">
                  <c:v>42326</c:v>
                </c:pt>
                <c:pt idx="2644">
                  <c:v>42325</c:v>
                </c:pt>
                <c:pt idx="2645">
                  <c:v>42324</c:v>
                </c:pt>
                <c:pt idx="2646">
                  <c:v>42321</c:v>
                </c:pt>
                <c:pt idx="2647">
                  <c:v>42320</c:v>
                </c:pt>
                <c:pt idx="2648">
                  <c:v>42319</c:v>
                </c:pt>
                <c:pt idx="2649">
                  <c:v>42318</c:v>
                </c:pt>
                <c:pt idx="2650">
                  <c:v>42317</c:v>
                </c:pt>
                <c:pt idx="2651">
                  <c:v>42314</c:v>
                </c:pt>
                <c:pt idx="2652">
                  <c:v>42313</c:v>
                </c:pt>
                <c:pt idx="2653">
                  <c:v>42312</c:v>
                </c:pt>
                <c:pt idx="2654">
                  <c:v>42311</c:v>
                </c:pt>
                <c:pt idx="2655">
                  <c:v>42310</c:v>
                </c:pt>
                <c:pt idx="2656">
                  <c:v>42307</c:v>
                </c:pt>
                <c:pt idx="2657">
                  <c:v>42306</c:v>
                </c:pt>
                <c:pt idx="2658">
                  <c:v>42305</c:v>
                </c:pt>
                <c:pt idx="2659">
                  <c:v>42304</c:v>
                </c:pt>
                <c:pt idx="2660">
                  <c:v>42303</c:v>
                </c:pt>
                <c:pt idx="2661">
                  <c:v>42300</c:v>
                </c:pt>
                <c:pt idx="2662">
                  <c:v>42299</c:v>
                </c:pt>
                <c:pt idx="2663">
                  <c:v>42298</c:v>
                </c:pt>
                <c:pt idx="2664">
                  <c:v>42297</c:v>
                </c:pt>
                <c:pt idx="2665">
                  <c:v>42296</c:v>
                </c:pt>
                <c:pt idx="2666">
                  <c:v>42293</c:v>
                </c:pt>
                <c:pt idx="2667">
                  <c:v>42292</c:v>
                </c:pt>
                <c:pt idx="2668">
                  <c:v>42291</c:v>
                </c:pt>
                <c:pt idx="2669">
                  <c:v>42290</c:v>
                </c:pt>
                <c:pt idx="2670">
                  <c:v>42289</c:v>
                </c:pt>
                <c:pt idx="2671">
                  <c:v>42286</c:v>
                </c:pt>
                <c:pt idx="2672">
                  <c:v>42285</c:v>
                </c:pt>
                <c:pt idx="2673">
                  <c:v>42284</c:v>
                </c:pt>
                <c:pt idx="2674">
                  <c:v>42283</c:v>
                </c:pt>
                <c:pt idx="2675">
                  <c:v>42282</c:v>
                </c:pt>
                <c:pt idx="2676">
                  <c:v>42279</c:v>
                </c:pt>
                <c:pt idx="2677">
                  <c:v>42278</c:v>
                </c:pt>
                <c:pt idx="2678">
                  <c:v>42277</c:v>
                </c:pt>
                <c:pt idx="2679">
                  <c:v>42276</c:v>
                </c:pt>
                <c:pt idx="2680">
                  <c:v>42275</c:v>
                </c:pt>
                <c:pt idx="2681">
                  <c:v>42272</c:v>
                </c:pt>
                <c:pt idx="2682">
                  <c:v>42271</c:v>
                </c:pt>
                <c:pt idx="2683">
                  <c:v>42270</c:v>
                </c:pt>
                <c:pt idx="2684">
                  <c:v>42269</c:v>
                </c:pt>
                <c:pt idx="2685">
                  <c:v>42268</c:v>
                </c:pt>
                <c:pt idx="2686">
                  <c:v>42265</c:v>
                </c:pt>
                <c:pt idx="2687">
                  <c:v>42264</c:v>
                </c:pt>
                <c:pt idx="2688">
                  <c:v>42263</c:v>
                </c:pt>
                <c:pt idx="2689">
                  <c:v>42262</c:v>
                </c:pt>
                <c:pt idx="2690">
                  <c:v>42261</c:v>
                </c:pt>
                <c:pt idx="2691">
                  <c:v>42258</c:v>
                </c:pt>
                <c:pt idx="2692">
                  <c:v>42257</c:v>
                </c:pt>
                <c:pt idx="2693">
                  <c:v>42256</c:v>
                </c:pt>
                <c:pt idx="2694">
                  <c:v>42255</c:v>
                </c:pt>
                <c:pt idx="2695">
                  <c:v>42251</c:v>
                </c:pt>
                <c:pt idx="2696">
                  <c:v>42250</c:v>
                </c:pt>
                <c:pt idx="2697">
                  <c:v>42249</c:v>
                </c:pt>
                <c:pt idx="2698">
                  <c:v>42248</c:v>
                </c:pt>
                <c:pt idx="2699">
                  <c:v>42247</c:v>
                </c:pt>
                <c:pt idx="2700">
                  <c:v>42244</c:v>
                </c:pt>
                <c:pt idx="2701">
                  <c:v>42243</c:v>
                </c:pt>
                <c:pt idx="2702">
                  <c:v>42242</c:v>
                </c:pt>
                <c:pt idx="2703">
                  <c:v>42241</c:v>
                </c:pt>
                <c:pt idx="2704">
                  <c:v>42240</c:v>
                </c:pt>
                <c:pt idx="2705">
                  <c:v>42237</c:v>
                </c:pt>
                <c:pt idx="2706">
                  <c:v>42236</c:v>
                </c:pt>
                <c:pt idx="2707">
                  <c:v>42235</c:v>
                </c:pt>
                <c:pt idx="2708">
                  <c:v>42234</c:v>
                </c:pt>
                <c:pt idx="2709">
                  <c:v>42233</c:v>
                </c:pt>
                <c:pt idx="2710">
                  <c:v>42230</c:v>
                </c:pt>
                <c:pt idx="2711">
                  <c:v>42229</c:v>
                </c:pt>
                <c:pt idx="2712">
                  <c:v>42228</c:v>
                </c:pt>
                <c:pt idx="2713">
                  <c:v>42227</c:v>
                </c:pt>
                <c:pt idx="2714">
                  <c:v>42226</c:v>
                </c:pt>
                <c:pt idx="2715">
                  <c:v>42223</c:v>
                </c:pt>
                <c:pt idx="2716">
                  <c:v>42222</c:v>
                </c:pt>
                <c:pt idx="2717">
                  <c:v>42221</c:v>
                </c:pt>
                <c:pt idx="2718">
                  <c:v>42220</c:v>
                </c:pt>
                <c:pt idx="2719">
                  <c:v>42219</c:v>
                </c:pt>
                <c:pt idx="2720">
                  <c:v>42216</c:v>
                </c:pt>
                <c:pt idx="2721">
                  <c:v>42215</c:v>
                </c:pt>
                <c:pt idx="2722">
                  <c:v>42214</c:v>
                </c:pt>
                <c:pt idx="2723">
                  <c:v>42213</c:v>
                </c:pt>
                <c:pt idx="2724">
                  <c:v>42212</c:v>
                </c:pt>
                <c:pt idx="2725">
                  <c:v>42209</c:v>
                </c:pt>
                <c:pt idx="2726">
                  <c:v>42208</c:v>
                </c:pt>
                <c:pt idx="2727">
                  <c:v>42207</c:v>
                </c:pt>
                <c:pt idx="2728">
                  <c:v>42206</c:v>
                </c:pt>
                <c:pt idx="2729">
                  <c:v>42205</c:v>
                </c:pt>
                <c:pt idx="2730">
                  <c:v>42202</c:v>
                </c:pt>
                <c:pt idx="2731">
                  <c:v>42201</c:v>
                </c:pt>
                <c:pt idx="2732">
                  <c:v>42200</c:v>
                </c:pt>
                <c:pt idx="2733">
                  <c:v>42199</c:v>
                </c:pt>
                <c:pt idx="2734">
                  <c:v>42198</c:v>
                </c:pt>
                <c:pt idx="2735">
                  <c:v>42195</c:v>
                </c:pt>
                <c:pt idx="2736">
                  <c:v>42194</c:v>
                </c:pt>
                <c:pt idx="2737">
                  <c:v>42193</c:v>
                </c:pt>
                <c:pt idx="2738">
                  <c:v>42192</c:v>
                </c:pt>
                <c:pt idx="2739">
                  <c:v>42191</c:v>
                </c:pt>
                <c:pt idx="2740">
                  <c:v>42187</c:v>
                </c:pt>
                <c:pt idx="2741">
                  <c:v>42186</c:v>
                </c:pt>
                <c:pt idx="2742">
                  <c:v>42185</c:v>
                </c:pt>
                <c:pt idx="2743">
                  <c:v>42184</c:v>
                </c:pt>
                <c:pt idx="2744">
                  <c:v>42181</c:v>
                </c:pt>
                <c:pt idx="2745">
                  <c:v>42180</c:v>
                </c:pt>
                <c:pt idx="2746">
                  <c:v>42179</c:v>
                </c:pt>
                <c:pt idx="2747">
                  <c:v>42178</c:v>
                </c:pt>
                <c:pt idx="2748">
                  <c:v>42177</c:v>
                </c:pt>
                <c:pt idx="2749">
                  <c:v>42174</c:v>
                </c:pt>
                <c:pt idx="2750">
                  <c:v>42173</c:v>
                </c:pt>
                <c:pt idx="2751">
                  <c:v>42172</c:v>
                </c:pt>
                <c:pt idx="2752">
                  <c:v>42171</c:v>
                </c:pt>
                <c:pt idx="2753">
                  <c:v>42170</c:v>
                </c:pt>
                <c:pt idx="2754">
                  <c:v>42167</c:v>
                </c:pt>
                <c:pt idx="2755">
                  <c:v>42166</c:v>
                </c:pt>
                <c:pt idx="2756">
                  <c:v>42165</c:v>
                </c:pt>
                <c:pt idx="2757">
                  <c:v>42164</c:v>
                </c:pt>
                <c:pt idx="2758">
                  <c:v>42163</c:v>
                </c:pt>
                <c:pt idx="2759">
                  <c:v>42160</c:v>
                </c:pt>
                <c:pt idx="2760">
                  <c:v>42159</c:v>
                </c:pt>
                <c:pt idx="2761">
                  <c:v>42158</c:v>
                </c:pt>
                <c:pt idx="2762">
                  <c:v>42157</c:v>
                </c:pt>
                <c:pt idx="2763">
                  <c:v>42156</c:v>
                </c:pt>
                <c:pt idx="2764">
                  <c:v>42153</c:v>
                </c:pt>
                <c:pt idx="2765">
                  <c:v>42152</c:v>
                </c:pt>
                <c:pt idx="2766">
                  <c:v>42151</c:v>
                </c:pt>
                <c:pt idx="2767">
                  <c:v>42150</c:v>
                </c:pt>
                <c:pt idx="2768">
                  <c:v>42146</c:v>
                </c:pt>
                <c:pt idx="2769">
                  <c:v>42145</c:v>
                </c:pt>
                <c:pt idx="2770">
                  <c:v>42144</c:v>
                </c:pt>
                <c:pt idx="2771">
                  <c:v>42143</c:v>
                </c:pt>
                <c:pt idx="2772">
                  <c:v>42142</c:v>
                </c:pt>
                <c:pt idx="2773">
                  <c:v>42139</c:v>
                </c:pt>
                <c:pt idx="2774">
                  <c:v>42138</c:v>
                </c:pt>
                <c:pt idx="2775">
                  <c:v>42137</c:v>
                </c:pt>
                <c:pt idx="2776">
                  <c:v>42136</c:v>
                </c:pt>
                <c:pt idx="2777">
                  <c:v>42135</c:v>
                </c:pt>
                <c:pt idx="2778">
                  <c:v>42132</c:v>
                </c:pt>
                <c:pt idx="2779">
                  <c:v>42131</c:v>
                </c:pt>
                <c:pt idx="2780">
                  <c:v>42130</c:v>
                </c:pt>
                <c:pt idx="2781">
                  <c:v>42129</c:v>
                </c:pt>
                <c:pt idx="2782">
                  <c:v>42128</c:v>
                </c:pt>
                <c:pt idx="2783">
                  <c:v>42125</c:v>
                </c:pt>
                <c:pt idx="2784">
                  <c:v>42124</c:v>
                </c:pt>
                <c:pt idx="2785">
                  <c:v>42123</c:v>
                </c:pt>
                <c:pt idx="2786">
                  <c:v>42122</c:v>
                </c:pt>
                <c:pt idx="2787">
                  <c:v>42121</c:v>
                </c:pt>
                <c:pt idx="2788">
                  <c:v>42118</c:v>
                </c:pt>
                <c:pt idx="2789">
                  <c:v>42117</c:v>
                </c:pt>
                <c:pt idx="2790">
                  <c:v>42116</c:v>
                </c:pt>
                <c:pt idx="2791">
                  <c:v>42115</c:v>
                </c:pt>
                <c:pt idx="2792">
                  <c:v>42114</c:v>
                </c:pt>
                <c:pt idx="2793">
                  <c:v>42111</c:v>
                </c:pt>
                <c:pt idx="2794">
                  <c:v>42110</c:v>
                </c:pt>
                <c:pt idx="2795">
                  <c:v>42109</c:v>
                </c:pt>
                <c:pt idx="2796">
                  <c:v>42108</c:v>
                </c:pt>
                <c:pt idx="2797">
                  <c:v>42107</c:v>
                </c:pt>
                <c:pt idx="2798">
                  <c:v>42104</c:v>
                </c:pt>
                <c:pt idx="2799">
                  <c:v>42103</c:v>
                </c:pt>
                <c:pt idx="2800">
                  <c:v>42102</c:v>
                </c:pt>
                <c:pt idx="2801">
                  <c:v>42101</c:v>
                </c:pt>
                <c:pt idx="2802">
                  <c:v>42100</c:v>
                </c:pt>
                <c:pt idx="2803">
                  <c:v>42096</c:v>
                </c:pt>
                <c:pt idx="2804">
                  <c:v>42095</c:v>
                </c:pt>
                <c:pt idx="2805">
                  <c:v>42094</c:v>
                </c:pt>
                <c:pt idx="2806">
                  <c:v>42093</c:v>
                </c:pt>
                <c:pt idx="2807">
                  <c:v>42090</c:v>
                </c:pt>
                <c:pt idx="2808">
                  <c:v>42089</c:v>
                </c:pt>
                <c:pt idx="2809">
                  <c:v>42088</c:v>
                </c:pt>
                <c:pt idx="2810">
                  <c:v>42087</c:v>
                </c:pt>
                <c:pt idx="2811">
                  <c:v>42086</c:v>
                </c:pt>
                <c:pt idx="2812">
                  <c:v>42083</c:v>
                </c:pt>
                <c:pt idx="2813">
                  <c:v>42082</c:v>
                </c:pt>
                <c:pt idx="2814">
                  <c:v>42081</c:v>
                </c:pt>
                <c:pt idx="2815">
                  <c:v>42080</c:v>
                </c:pt>
                <c:pt idx="2816">
                  <c:v>42079</c:v>
                </c:pt>
                <c:pt idx="2817">
                  <c:v>42076</c:v>
                </c:pt>
                <c:pt idx="2818">
                  <c:v>42075</c:v>
                </c:pt>
                <c:pt idx="2819">
                  <c:v>42074</c:v>
                </c:pt>
                <c:pt idx="2820">
                  <c:v>42073</c:v>
                </c:pt>
                <c:pt idx="2821">
                  <c:v>42072</c:v>
                </c:pt>
                <c:pt idx="2822">
                  <c:v>42069</c:v>
                </c:pt>
                <c:pt idx="2823">
                  <c:v>42068</c:v>
                </c:pt>
                <c:pt idx="2824">
                  <c:v>42067</c:v>
                </c:pt>
                <c:pt idx="2825">
                  <c:v>42066</c:v>
                </c:pt>
                <c:pt idx="2826">
                  <c:v>42065</c:v>
                </c:pt>
                <c:pt idx="2827">
                  <c:v>42062</c:v>
                </c:pt>
                <c:pt idx="2828">
                  <c:v>42061</c:v>
                </c:pt>
                <c:pt idx="2829">
                  <c:v>42060</c:v>
                </c:pt>
                <c:pt idx="2830">
                  <c:v>42059</c:v>
                </c:pt>
                <c:pt idx="2831">
                  <c:v>42058</c:v>
                </c:pt>
                <c:pt idx="2832">
                  <c:v>42055</c:v>
                </c:pt>
                <c:pt idx="2833">
                  <c:v>42054</c:v>
                </c:pt>
                <c:pt idx="2834">
                  <c:v>42053</c:v>
                </c:pt>
                <c:pt idx="2835">
                  <c:v>42052</c:v>
                </c:pt>
                <c:pt idx="2836">
                  <c:v>42048</c:v>
                </c:pt>
                <c:pt idx="2837">
                  <c:v>42047</c:v>
                </c:pt>
                <c:pt idx="2838">
                  <c:v>42046</c:v>
                </c:pt>
                <c:pt idx="2839">
                  <c:v>42045</c:v>
                </c:pt>
                <c:pt idx="2840">
                  <c:v>42044</c:v>
                </c:pt>
                <c:pt idx="2841">
                  <c:v>42041</c:v>
                </c:pt>
                <c:pt idx="2842">
                  <c:v>42040</c:v>
                </c:pt>
                <c:pt idx="2843">
                  <c:v>42039</c:v>
                </c:pt>
                <c:pt idx="2844">
                  <c:v>42038</c:v>
                </c:pt>
                <c:pt idx="2845">
                  <c:v>42037</c:v>
                </c:pt>
                <c:pt idx="2846">
                  <c:v>42034</c:v>
                </c:pt>
                <c:pt idx="2847">
                  <c:v>42033</c:v>
                </c:pt>
                <c:pt idx="2848">
                  <c:v>42032</c:v>
                </c:pt>
                <c:pt idx="2849">
                  <c:v>42031</c:v>
                </c:pt>
                <c:pt idx="2850">
                  <c:v>42030</c:v>
                </c:pt>
                <c:pt idx="2851">
                  <c:v>42027</c:v>
                </c:pt>
                <c:pt idx="2852">
                  <c:v>42026</c:v>
                </c:pt>
                <c:pt idx="2853">
                  <c:v>42025</c:v>
                </c:pt>
                <c:pt idx="2854">
                  <c:v>42024</c:v>
                </c:pt>
                <c:pt idx="2855">
                  <c:v>42020</c:v>
                </c:pt>
                <c:pt idx="2856">
                  <c:v>42019</c:v>
                </c:pt>
                <c:pt idx="2857">
                  <c:v>42018</c:v>
                </c:pt>
                <c:pt idx="2858">
                  <c:v>42017</c:v>
                </c:pt>
                <c:pt idx="2859">
                  <c:v>42016</c:v>
                </c:pt>
                <c:pt idx="2860">
                  <c:v>42013</c:v>
                </c:pt>
                <c:pt idx="2861">
                  <c:v>42012</c:v>
                </c:pt>
                <c:pt idx="2862">
                  <c:v>42011</c:v>
                </c:pt>
                <c:pt idx="2863">
                  <c:v>42010</c:v>
                </c:pt>
                <c:pt idx="2864">
                  <c:v>42009</c:v>
                </c:pt>
                <c:pt idx="2865">
                  <c:v>42006</c:v>
                </c:pt>
              </c:numCache>
            </c:numRef>
          </c:cat>
          <c:val>
            <c:numRef>
              <c:f>'Share Price'!$B$3:$B$2868</c:f>
              <c:numCache>
                <c:formatCode>_("$"* #,##0.00_);_("$"* \(#,##0.00\);_("$"* "-"??_);_(@_)</c:formatCode>
                <c:ptCount val="2866"/>
                <c:pt idx="0">
                  <c:v>104.2</c:v>
                </c:pt>
                <c:pt idx="1">
                  <c:v>108.23</c:v>
                </c:pt>
                <c:pt idx="2">
                  <c:v>106.43</c:v>
                </c:pt>
                <c:pt idx="3">
                  <c:v>97.74</c:v>
                </c:pt>
                <c:pt idx="4">
                  <c:v>98.78</c:v>
                </c:pt>
                <c:pt idx="5">
                  <c:v>94.57</c:v>
                </c:pt>
                <c:pt idx="6">
                  <c:v>94.21</c:v>
                </c:pt>
                <c:pt idx="7">
                  <c:v>92.25</c:v>
                </c:pt>
                <c:pt idx="8">
                  <c:v>90.46</c:v>
                </c:pt>
                <c:pt idx="9">
                  <c:v>91.51</c:v>
                </c:pt>
                <c:pt idx="10">
                  <c:v>89.73</c:v>
                </c:pt>
                <c:pt idx="11">
                  <c:v>93.41</c:v>
                </c:pt>
                <c:pt idx="12">
                  <c:v>90.53</c:v>
                </c:pt>
                <c:pt idx="13">
                  <c:v>88.97</c:v>
                </c:pt>
                <c:pt idx="14">
                  <c:v>88.94</c:v>
                </c:pt>
                <c:pt idx="15">
                  <c:v>96.35</c:v>
                </c:pt>
                <c:pt idx="16">
                  <c:v>92.53</c:v>
                </c:pt>
                <c:pt idx="17">
                  <c:v>93.5</c:v>
                </c:pt>
                <c:pt idx="18">
                  <c:v>94.22</c:v>
                </c:pt>
                <c:pt idx="19">
                  <c:v>86.48</c:v>
                </c:pt>
                <c:pt idx="20">
                  <c:v>84.87</c:v>
                </c:pt>
                <c:pt idx="21">
                  <c:v>85.84</c:v>
                </c:pt>
                <c:pt idx="22">
                  <c:v>87.8</c:v>
                </c:pt>
                <c:pt idx="23">
                  <c:v>84.65</c:v>
                </c:pt>
                <c:pt idx="24">
                  <c:v>84.98</c:v>
                </c:pt>
                <c:pt idx="25">
                  <c:v>83.09</c:v>
                </c:pt>
                <c:pt idx="26">
                  <c:v>82.61</c:v>
                </c:pt>
                <c:pt idx="27">
                  <c:v>81.900000000000006</c:v>
                </c:pt>
                <c:pt idx="28">
                  <c:v>81.72</c:v>
                </c:pt>
                <c:pt idx="29">
                  <c:v>81.19</c:v>
                </c:pt>
                <c:pt idx="30">
                  <c:v>80.61</c:v>
                </c:pt>
                <c:pt idx="31">
                  <c:v>79.77</c:v>
                </c:pt>
                <c:pt idx="32">
                  <c:v>79.81</c:v>
                </c:pt>
                <c:pt idx="33">
                  <c:v>79.83</c:v>
                </c:pt>
                <c:pt idx="34">
                  <c:v>79.569999999999993</c:v>
                </c:pt>
                <c:pt idx="35">
                  <c:v>77.78</c:v>
                </c:pt>
                <c:pt idx="36">
                  <c:v>79.430000000000007</c:v>
                </c:pt>
                <c:pt idx="37">
                  <c:v>78.7</c:v>
                </c:pt>
                <c:pt idx="38">
                  <c:v>77.069999999999993</c:v>
                </c:pt>
                <c:pt idx="39">
                  <c:v>77.400000000000006</c:v>
                </c:pt>
                <c:pt idx="40">
                  <c:v>76.02</c:v>
                </c:pt>
                <c:pt idx="41">
                  <c:v>77.349999999999994</c:v>
                </c:pt>
                <c:pt idx="42">
                  <c:v>80.61</c:v>
                </c:pt>
                <c:pt idx="43">
                  <c:v>80.739999999999995</c:v>
                </c:pt>
                <c:pt idx="44">
                  <c:v>79.64</c:v>
                </c:pt>
                <c:pt idx="45">
                  <c:v>78.760000000000005</c:v>
                </c:pt>
                <c:pt idx="46">
                  <c:v>78.16</c:v>
                </c:pt>
                <c:pt idx="47">
                  <c:v>77.739999999999995</c:v>
                </c:pt>
                <c:pt idx="48">
                  <c:v>77.13</c:v>
                </c:pt>
                <c:pt idx="49">
                  <c:v>77.959999999999994</c:v>
                </c:pt>
                <c:pt idx="50">
                  <c:v>78.31</c:v>
                </c:pt>
                <c:pt idx="51">
                  <c:v>78.12</c:v>
                </c:pt>
                <c:pt idx="52">
                  <c:v>78.77</c:v>
                </c:pt>
                <c:pt idx="53">
                  <c:v>78.63</c:v>
                </c:pt>
                <c:pt idx="54">
                  <c:v>78.17</c:v>
                </c:pt>
                <c:pt idx="55">
                  <c:v>78.040000000000006</c:v>
                </c:pt>
                <c:pt idx="56">
                  <c:v>77.64</c:v>
                </c:pt>
                <c:pt idx="57">
                  <c:v>79.41</c:v>
                </c:pt>
                <c:pt idx="58">
                  <c:v>79.459999999999994</c:v>
                </c:pt>
                <c:pt idx="59">
                  <c:v>81.27</c:v>
                </c:pt>
                <c:pt idx="60">
                  <c:v>81.92</c:v>
                </c:pt>
                <c:pt idx="61">
                  <c:v>82.9</c:v>
                </c:pt>
                <c:pt idx="62">
                  <c:v>82.46</c:v>
                </c:pt>
                <c:pt idx="63">
                  <c:v>82.36</c:v>
                </c:pt>
                <c:pt idx="64">
                  <c:v>83.18</c:v>
                </c:pt>
                <c:pt idx="65">
                  <c:v>82.46</c:v>
                </c:pt>
                <c:pt idx="66">
                  <c:v>82.24</c:v>
                </c:pt>
                <c:pt idx="67">
                  <c:v>81.31</c:v>
                </c:pt>
                <c:pt idx="68">
                  <c:v>84.06</c:v>
                </c:pt>
                <c:pt idx="69">
                  <c:v>84.29</c:v>
                </c:pt>
                <c:pt idx="70">
                  <c:v>84.44</c:v>
                </c:pt>
                <c:pt idx="71">
                  <c:v>82.9</c:v>
                </c:pt>
                <c:pt idx="72">
                  <c:v>85.82</c:v>
                </c:pt>
                <c:pt idx="73">
                  <c:v>84.31</c:v>
                </c:pt>
                <c:pt idx="74">
                  <c:v>83.16</c:v>
                </c:pt>
                <c:pt idx="75">
                  <c:v>83.72</c:v>
                </c:pt>
                <c:pt idx="76">
                  <c:v>82.72</c:v>
                </c:pt>
                <c:pt idx="77">
                  <c:v>80.95</c:v>
                </c:pt>
                <c:pt idx="78">
                  <c:v>78.8</c:v>
                </c:pt>
                <c:pt idx="79">
                  <c:v>79.819999999999993</c:v>
                </c:pt>
                <c:pt idx="80">
                  <c:v>78.11</c:v>
                </c:pt>
                <c:pt idx="81">
                  <c:v>78.11</c:v>
                </c:pt>
                <c:pt idx="82">
                  <c:v>77.180000000000007</c:v>
                </c:pt>
                <c:pt idx="83">
                  <c:v>82.81</c:v>
                </c:pt>
                <c:pt idx="84">
                  <c:v>82.5</c:v>
                </c:pt>
                <c:pt idx="85">
                  <c:v>80.91</c:v>
                </c:pt>
                <c:pt idx="86">
                  <c:v>81.59</c:v>
                </c:pt>
                <c:pt idx="87">
                  <c:v>80.95</c:v>
                </c:pt>
                <c:pt idx="88">
                  <c:v>79.849999999999994</c:v>
                </c:pt>
                <c:pt idx="89">
                  <c:v>80.11</c:v>
                </c:pt>
                <c:pt idx="90">
                  <c:v>80.64</c:v>
                </c:pt>
                <c:pt idx="91">
                  <c:v>81.95</c:v>
                </c:pt>
                <c:pt idx="92">
                  <c:v>80.290000000000006</c:v>
                </c:pt>
                <c:pt idx="93">
                  <c:v>80.459999999999994</c:v>
                </c:pt>
                <c:pt idx="94">
                  <c:v>81.78</c:v>
                </c:pt>
                <c:pt idx="95">
                  <c:v>82.88</c:v>
                </c:pt>
                <c:pt idx="96">
                  <c:v>81.489999999999995</c:v>
                </c:pt>
                <c:pt idx="97">
                  <c:v>88.12</c:v>
                </c:pt>
                <c:pt idx="98">
                  <c:v>87.06</c:v>
                </c:pt>
                <c:pt idx="99">
                  <c:v>86.27</c:v>
                </c:pt>
                <c:pt idx="100">
                  <c:v>84.51</c:v>
                </c:pt>
                <c:pt idx="101">
                  <c:v>85.81</c:v>
                </c:pt>
                <c:pt idx="102">
                  <c:v>85.46</c:v>
                </c:pt>
                <c:pt idx="103">
                  <c:v>86.12</c:v>
                </c:pt>
                <c:pt idx="104">
                  <c:v>86.14</c:v>
                </c:pt>
                <c:pt idx="105">
                  <c:v>86.25</c:v>
                </c:pt>
                <c:pt idx="106">
                  <c:v>86.45</c:v>
                </c:pt>
                <c:pt idx="107">
                  <c:v>85.63</c:v>
                </c:pt>
                <c:pt idx="108">
                  <c:v>85.14</c:v>
                </c:pt>
                <c:pt idx="109">
                  <c:v>85.92</c:v>
                </c:pt>
                <c:pt idx="110">
                  <c:v>86.57</c:v>
                </c:pt>
                <c:pt idx="111">
                  <c:v>87.7</c:v>
                </c:pt>
                <c:pt idx="112">
                  <c:v>88.07</c:v>
                </c:pt>
                <c:pt idx="113">
                  <c:v>89.41</c:v>
                </c:pt>
                <c:pt idx="114">
                  <c:v>89.64</c:v>
                </c:pt>
                <c:pt idx="115">
                  <c:v>89.1</c:v>
                </c:pt>
                <c:pt idx="116">
                  <c:v>89.4</c:v>
                </c:pt>
                <c:pt idx="117">
                  <c:v>89.96</c:v>
                </c:pt>
                <c:pt idx="118">
                  <c:v>88.97</c:v>
                </c:pt>
                <c:pt idx="119">
                  <c:v>89.36</c:v>
                </c:pt>
                <c:pt idx="120">
                  <c:v>88.25</c:v>
                </c:pt>
                <c:pt idx="121">
                  <c:v>85.75</c:v>
                </c:pt>
                <c:pt idx="122">
                  <c:v>85.89</c:v>
                </c:pt>
                <c:pt idx="123">
                  <c:v>85.62</c:v>
                </c:pt>
                <c:pt idx="124">
                  <c:v>84.45</c:v>
                </c:pt>
                <c:pt idx="125">
                  <c:v>83.05</c:v>
                </c:pt>
                <c:pt idx="126">
                  <c:v>81.69</c:v>
                </c:pt>
                <c:pt idx="127">
                  <c:v>79.25</c:v>
                </c:pt>
                <c:pt idx="128">
                  <c:v>81.61</c:v>
                </c:pt>
                <c:pt idx="129">
                  <c:v>81.14</c:v>
                </c:pt>
                <c:pt idx="130">
                  <c:v>81.63</c:v>
                </c:pt>
                <c:pt idx="131">
                  <c:v>84.98</c:v>
                </c:pt>
                <c:pt idx="132">
                  <c:v>86.2</c:v>
                </c:pt>
                <c:pt idx="133">
                  <c:v>87.84</c:v>
                </c:pt>
                <c:pt idx="134">
                  <c:v>86.52</c:v>
                </c:pt>
                <c:pt idx="135">
                  <c:v>86.88</c:v>
                </c:pt>
                <c:pt idx="136">
                  <c:v>85.9</c:v>
                </c:pt>
                <c:pt idx="137">
                  <c:v>87.12</c:v>
                </c:pt>
                <c:pt idx="138">
                  <c:v>89.7</c:v>
                </c:pt>
                <c:pt idx="139">
                  <c:v>87.54</c:v>
                </c:pt>
                <c:pt idx="140">
                  <c:v>93.58</c:v>
                </c:pt>
                <c:pt idx="141">
                  <c:v>94.92</c:v>
                </c:pt>
                <c:pt idx="142">
                  <c:v>95.99</c:v>
                </c:pt>
                <c:pt idx="143">
                  <c:v>95.48</c:v>
                </c:pt>
                <c:pt idx="144">
                  <c:v>97.42</c:v>
                </c:pt>
                <c:pt idx="145">
                  <c:v>92.13</c:v>
                </c:pt>
                <c:pt idx="146">
                  <c:v>90.71</c:v>
                </c:pt>
                <c:pt idx="147">
                  <c:v>92.06</c:v>
                </c:pt>
                <c:pt idx="148">
                  <c:v>90.67</c:v>
                </c:pt>
                <c:pt idx="149">
                  <c:v>93.49</c:v>
                </c:pt>
                <c:pt idx="150">
                  <c:v>93.16</c:v>
                </c:pt>
                <c:pt idx="151">
                  <c:v>92.13</c:v>
                </c:pt>
                <c:pt idx="152">
                  <c:v>91.68</c:v>
                </c:pt>
                <c:pt idx="153">
                  <c:v>89.97</c:v>
                </c:pt>
                <c:pt idx="154">
                  <c:v>87.87</c:v>
                </c:pt>
                <c:pt idx="155">
                  <c:v>87.92</c:v>
                </c:pt>
                <c:pt idx="156">
                  <c:v>83.24</c:v>
                </c:pt>
                <c:pt idx="157">
                  <c:v>90.11</c:v>
                </c:pt>
                <c:pt idx="158">
                  <c:v>91.53</c:v>
                </c:pt>
                <c:pt idx="159">
                  <c:v>89.45</c:v>
                </c:pt>
                <c:pt idx="160">
                  <c:v>92.41</c:v>
                </c:pt>
                <c:pt idx="161">
                  <c:v>93.48</c:v>
                </c:pt>
                <c:pt idx="162">
                  <c:v>91.54</c:v>
                </c:pt>
                <c:pt idx="163">
                  <c:v>90.47</c:v>
                </c:pt>
                <c:pt idx="164">
                  <c:v>91.08</c:v>
                </c:pt>
                <c:pt idx="165">
                  <c:v>90.46</c:v>
                </c:pt>
                <c:pt idx="166">
                  <c:v>93.02</c:v>
                </c:pt>
                <c:pt idx="167">
                  <c:v>93.36</c:v>
                </c:pt>
                <c:pt idx="168">
                  <c:v>93.27</c:v>
                </c:pt>
                <c:pt idx="169">
                  <c:v>93.85</c:v>
                </c:pt>
                <c:pt idx="170">
                  <c:v>96.31</c:v>
                </c:pt>
                <c:pt idx="171">
                  <c:v>91.81</c:v>
                </c:pt>
                <c:pt idx="172">
                  <c:v>90.03</c:v>
                </c:pt>
                <c:pt idx="173">
                  <c:v>87.67</c:v>
                </c:pt>
                <c:pt idx="174">
                  <c:v>86.94</c:v>
                </c:pt>
                <c:pt idx="175">
                  <c:v>86.41</c:v>
                </c:pt>
                <c:pt idx="176">
                  <c:v>86.81</c:v>
                </c:pt>
                <c:pt idx="177">
                  <c:v>87.67</c:v>
                </c:pt>
                <c:pt idx="178">
                  <c:v>89.19</c:v>
                </c:pt>
                <c:pt idx="179">
                  <c:v>92.11</c:v>
                </c:pt>
                <c:pt idx="180">
                  <c:v>91.76</c:v>
                </c:pt>
                <c:pt idx="181">
                  <c:v>92.89</c:v>
                </c:pt>
                <c:pt idx="182">
                  <c:v>92.2</c:v>
                </c:pt>
                <c:pt idx="183">
                  <c:v>90.88</c:v>
                </c:pt>
                <c:pt idx="184">
                  <c:v>90.34</c:v>
                </c:pt>
                <c:pt idx="185">
                  <c:v>90.7</c:v>
                </c:pt>
                <c:pt idx="186">
                  <c:v>91.49</c:v>
                </c:pt>
                <c:pt idx="187">
                  <c:v>91.91</c:v>
                </c:pt>
                <c:pt idx="188">
                  <c:v>92.37</c:v>
                </c:pt>
                <c:pt idx="189">
                  <c:v>92.12</c:v>
                </c:pt>
                <c:pt idx="190">
                  <c:v>92.95</c:v>
                </c:pt>
                <c:pt idx="191">
                  <c:v>89.07</c:v>
                </c:pt>
                <c:pt idx="192">
                  <c:v>89.05</c:v>
                </c:pt>
                <c:pt idx="193">
                  <c:v>89.54</c:v>
                </c:pt>
                <c:pt idx="194">
                  <c:v>89.25</c:v>
                </c:pt>
                <c:pt idx="195">
                  <c:v>89.35</c:v>
                </c:pt>
                <c:pt idx="196">
                  <c:v>90.66</c:v>
                </c:pt>
                <c:pt idx="197">
                  <c:v>90.14</c:v>
                </c:pt>
                <c:pt idx="198">
                  <c:v>89.77</c:v>
                </c:pt>
                <c:pt idx="199">
                  <c:v>86.98</c:v>
                </c:pt>
                <c:pt idx="200">
                  <c:v>88.09</c:v>
                </c:pt>
                <c:pt idx="201">
                  <c:v>87.55</c:v>
                </c:pt>
                <c:pt idx="202">
                  <c:v>84.19</c:v>
                </c:pt>
                <c:pt idx="203">
                  <c:v>84.95</c:v>
                </c:pt>
                <c:pt idx="204">
                  <c:v>85.17</c:v>
                </c:pt>
                <c:pt idx="205">
                  <c:v>84.11</c:v>
                </c:pt>
                <c:pt idx="206">
                  <c:v>83.6</c:v>
                </c:pt>
                <c:pt idx="207">
                  <c:v>86.5</c:v>
                </c:pt>
                <c:pt idx="208">
                  <c:v>84.67</c:v>
                </c:pt>
                <c:pt idx="209">
                  <c:v>84.32</c:v>
                </c:pt>
                <c:pt idx="210">
                  <c:v>85.28</c:v>
                </c:pt>
                <c:pt idx="211">
                  <c:v>86.19</c:v>
                </c:pt>
                <c:pt idx="212">
                  <c:v>88.53</c:v>
                </c:pt>
                <c:pt idx="213">
                  <c:v>87.8</c:v>
                </c:pt>
                <c:pt idx="214">
                  <c:v>87.93</c:v>
                </c:pt>
                <c:pt idx="215">
                  <c:v>88.57</c:v>
                </c:pt>
                <c:pt idx="216">
                  <c:v>88.63</c:v>
                </c:pt>
                <c:pt idx="217">
                  <c:v>88</c:v>
                </c:pt>
                <c:pt idx="218">
                  <c:v>87.03</c:v>
                </c:pt>
                <c:pt idx="219">
                  <c:v>87.48</c:v>
                </c:pt>
                <c:pt idx="220">
                  <c:v>88.23</c:v>
                </c:pt>
                <c:pt idx="221">
                  <c:v>90.32</c:v>
                </c:pt>
                <c:pt idx="222">
                  <c:v>89.88</c:v>
                </c:pt>
                <c:pt idx="223">
                  <c:v>88.03</c:v>
                </c:pt>
                <c:pt idx="224">
                  <c:v>87.04</c:v>
                </c:pt>
                <c:pt idx="225">
                  <c:v>88.78</c:v>
                </c:pt>
                <c:pt idx="226">
                  <c:v>88.28</c:v>
                </c:pt>
                <c:pt idx="227">
                  <c:v>86.08</c:v>
                </c:pt>
                <c:pt idx="228">
                  <c:v>84.91</c:v>
                </c:pt>
                <c:pt idx="229">
                  <c:v>83.85</c:v>
                </c:pt>
                <c:pt idx="230">
                  <c:v>82.99</c:v>
                </c:pt>
                <c:pt idx="231">
                  <c:v>82.74</c:v>
                </c:pt>
                <c:pt idx="232">
                  <c:v>81.59</c:v>
                </c:pt>
                <c:pt idx="233">
                  <c:v>80.92</c:v>
                </c:pt>
                <c:pt idx="234">
                  <c:v>79.91</c:v>
                </c:pt>
                <c:pt idx="235">
                  <c:v>80.3</c:v>
                </c:pt>
                <c:pt idx="236">
                  <c:v>80.180000000000007</c:v>
                </c:pt>
                <c:pt idx="237">
                  <c:v>80.739999999999995</c:v>
                </c:pt>
                <c:pt idx="238">
                  <c:v>79.42</c:v>
                </c:pt>
                <c:pt idx="239">
                  <c:v>81.760000000000005</c:v>
                </c:pt>
                <c:pt idx="240">
                  <c:v>82.63</c:v>
                </c:pt>
                <c:pt idx="241">
                  <c:v>83.01</c:v>
                </c:pt>
                <c:pt idx="242">
                  <c:v>81.09</c:v>
                </c:pt>
                <c:pt idx="243">
                  <c:v>78.58</c:v>
                </c:pt>
                <c:pt idx="244">
                  <c:v>78.12</c:v>
                </c:pt>
                <c:pt idx="245">
                  <c:v>79.23</c:v>
                </c:pt>
                <c:pt idx="246">
                  <c:v>79.260000000000005</c:v>
                </c:pt>
                <c:pt idx="247">
                  <c:v>76.37</c:v>
                </c:pt>
                <c:pt idx="248">
                  <c:v>76.02</c:v>
                </c:pt>
                <c:pt idx="249">
                  <c:v>76.41</c:v>
                </c:pt>
                <c:pt idx="250">
                  <c:v>75.91</c:v>
                </c:pt>
                <c:pt idx="251">
                  <c:v>76.95</c:v>
                </c:pt>
                <c:pt idx="252">
                  <c:v>74.599999999999994</c:v>
                </c:pt>
                <c:pt idx="253">
                  <c:v>76.099999999999994</c:v>
                </c:pt>
                <c:pt idx="254">
                  <c:v>76.510000000000005</c:v>
                </c:pt>
                <c:pt idx="255">
                  <c:v>78.92</c:v>
                </c:pt>
                <c:pt idx="256">
                  <c:v>78.819999999999993</c:v>
                </c:pt>
                <c:pt idx="257">
                  <c:v>79.64</c:v>
                </c:pt>
                <c:pt idx="258">
                  <c:v>78.42</c:v>
                </c:pt>
                <c:pt idx="259">
                  <c:v>79.44</c:v>
                </c:pt>
                <c:pt idx="260">
                  <c:v>78.58</c:v>
                </c:pt>
                <c:pt idx="261">
                  <c:v>78.42</c:v>
                </c:pt>
                <c:pt idx="262">
                  <c:v>73.19</c:v>
                </c:pt>
                <c:pt idx="263">
                  <c:v>72.37</c:v>
                </c:pt>
                <c:pt idx="264">
                  <c:v>71.3</c:v>
                </c:pt>
                <c:pt idx="265">
                  <c:v>70.31</c:v>
                </c:pt>
                <c:pt idx="266">
                  <c:v>70.72</c:v>
                </c:pt>
                <c:pt idx="267">
                  <c:v>70.900000000000006</c:v>
                </c:pt>
                <c:pt idx="268">
                  <c:v>69.81</c:v>
                </c:pt>
                <c:pt idx="269">
                  <c:v>71.67</c:v>
                </c:pt>
                <c:pt idx="270">
                  <c:v>62.65</c:v>
                </c:pt>
                <c:pt idx="271">
                  <c:v>63.8</c:v>
                </c:pt>
                <c:pt idx="272">
                  <c:v>63.78</c:v>
                </c:pt>
                <c:pt idx="273">
                  <c:v>63.51</c:v>
                </c:pt>
                <c:pt idx="274">
                  <c:v>59.91</c:v>
                </c:pt>
                <c:pt idx="275">
                  <c:v>59.12</c:v>
                </c:pt>
                <c:pt idx="276">
                  <c:v>58.2</c:v>
                </c:pt>
                <c:pt idx="277">
                  <c:v>57.63</c:v>
                </c:pt>
                <c:pt idx="278">
                  <c:v>56.82</c:v>
                </c:pt>
                <c:pt idx="279">
                  <c:v>57.81</c:v>
                </c:pt>
                <c:pt idx="280">
                  <c:v>58.93</c:v>
                </c:pt>
                <c:pt idx="281">
                  <c:v>56.27</c:v>
                </c:pt>
                <c:pt idx="282">
                  <c:v>55.12</c:v>
                </c:pt>
                <c:pt idx="283">
                  <c:v>62.11</c:v>
                </c:pt>
                <c:pt idx="284">
                  <c:v>50.81</c:v>
                </c:pt>
                <c:pt idx="285">
                  <c:v>56.39</c:v>
                </c:pt>
                <c:pt idx="286">
                  <c:v>56.35</c:v>
                </c:pt>
                <c:pt idx="287">
                  <c:v>61.09</c:v>
                </c:pt>
                <c:pt idx="288">
                  <c:v>72.64</c:v>
                </c:pt>
                <c:pt idx="289">
                  <c:v>72.23</c:v>
                </c:pt>
                <c:pt idx="290">
                  <c:v>72.41</c:v>
                </c:pt>
                <c:pt idx="291">
                  <c:v>71.5</c:v>
                </c:pt>
                <c:pt idx="292">
                  <c:v>73.69</c:v>
                </c:pt>
                <c:pt idx="293">
                  <c:v>75</c:v>
                </c:pt>
                <c:pt idx="294">
                  <c:v>75.63</c:v>
                </c:pt>
                <c:pt idx="295">
                  <c:v>72.91</c:v>
                </c:pt>
                <c:pt idx="296">
                  <c:v>71.8</c:v>
                </c:pt>
                <c:pt idx="297">
                  <c:v>72.36</c:v>
                </c:pt>
                <c:pt idx="298">
                  <c:v>72.180000000000007</c:v>
                </c:pt>
                <c:pt idx="299">
                  <c:v>72.02</c:v>
                </c:pt>
                <c:pt idx="300">
                  <c:v>73.02</c:v>
                </c:pt>
                <c:pt idx="301">
                  <c:v>71.39</c:v>
                </c:pt>
                <c:pt idx="302">
                  <c:v>69.12</c:v>
                </c:pt>
                <c:pt idx="303">
                  <c:v>69.319999999999993</c:v>
                </c:pt>
                <c:pt idx="304">
                  <c:v>71.06</c:v>
                </c:pt>
                <c:pt idx="305">
                  <c:v>74.08</c:v>
                </c:pt>
                <c:pt idx="306">
                  <c:v>76.8</c:v>
                </c:pt>
                <c:pt idx="307">
                  <c:v>71.2</c:v>
                </c:pt>
                <c:pt idx="308">
                  <c:v>71.14</c:v>
                </c:pt>
                <c:pt idx="309">
                  <c:v>69.27</c:v>
                </c:pt>
                <c:pt idx="310">
                  <c:v>69.62</c:v>
                </c:pt>
                <c:pt idx="311">
                  <c:v>72.69</c:v>
                </c:pt>
                <c:pt idx="312">
                  <c:v>70.959999999999994</c:v>
                </c:pt>
                <c:pt idx="313">
                  <c:v>74.540000000000006</c:v>
                </c:pt>
                <c:pt idx="314">
                  <c:v>75.12</c:v>
                </c:pt>
                <c:pt idx="315">
                  <c:v>75.27</c:v>
                </c:pt>
                <c:pt idx="316">
                  <c:v>76.069999999999993</c:v>
                </c:pt>
                <c:pt idx="317">
                  <c:v>77.099999999999994</c:v>
                </c:pt>
                <c:pt idx="318">
                  <c:v>78.89</c:v>
                </c:pt>
                <c:pt idx="319">
                  <c:v>77.959999999999994</c:v>
                </c:pt>
                <c:pt idx="320">
                  <c:v>76.16</c:v>
                </c:pt>
                <c:pt idx="321">
                  <c:v>77.489999999999995</c:v>
                </c:pt>
                <c:pt idx="322">
                  <c:v>77.010000000000005</c:v>
                </c:pt>
                <c:pt idx="323">
                  <c:v>76.66</c:v>
                </c:pt>
                <c:pt idx="324">
                  <c:v>77.260000000000005</c:v>
                </c:pt>
                <c:pt idx="325">
                  <c:v>77.03</c:v>
                </c:pt>
                <c:pt idx="326">
                  <c:v>78.89</c:v>
                </c:pt>
                <c:pt idx="327">
                  <c:v>82.59</c:v>
                </c:pt>
                <c:pt idx="328">
                  <c:v>81.89</c:v>
                </c:pt>
                <c:pt idx="329">
                  <c:v>81.66</c:v>
                </c:pt>
                <c:pt idx="330">
                  <c:v>82.98</c:v>
                </c:pt>
                <c:pt idx="331">
                  <c:v>83.72</c:v>
                </c:pt>
                <c:pt idx="332">
                  <c:v>86.03</c:v>
                </c:pt>
                <c:pt idx="333">
                  <c:v>85.78</c:v>
                </c:pt>
                <c:pt idx="334">
                  <c:v>87.63</c:v>
                </c:pt>
                <c:pt idx="335">
                  <c:v>88.94</c:v>
                </c:pt>
                <c:pt idx="336">
                  <c:v>90.57</c:v>
                </c:pt>
                <c:pt idx="337">
                  <c:v>87.09</c:v>
                </c:pt>
                <c:pt idx="338">
                  <c:v>87.58</c:v>
                </c:pt>
                <c:pt idx="339">
                  <c:v>84.21</c:v>
                </c:pt>
                <c:pt idx="340">
                  <c:v>73.59</c:v>
                </c:pt>
                <c:pt idx="341">
                  <c:v>74.16</c:v>
                </c:pt>
                <c:pt idx="342">
                  <c:v>72.819999999999993</c:v>
                </c:pt>
                <c:pt idx="343">
                  <c:v>71.91</c:v>
                </c:pt>
                <c:pt idx="344">
                  <c:v>71.69</c:v>
                </c:pt>
                <c:pt idx="345">
                  <c:v>73.08</c:v>
                </c:pt>
                <c:pt idx="346">
                  <c:v>73.63</c:v>
                </c:pt>
                <c:pt idx="347">
                  <c:v>72.14</c:v>
                </c:pt>
                <c:pt idx="348">
                  <c:v>70.63</c:v>
                </c:pt>
                <c:pt idx="349">
                  <c:v>69.760000000000005</c:v>
                </c:pt>
                <c:pt idx="350">
                  <c:v>69.930000000000007</c:v>
                </c:pt>
                <c:pt idx="351">
                  <c:v>69.73</c:v>
                </c:pt>
                <c:pt idx="352">
                  <c:v>71.42</c:v>
                </c:pt>
                <c:pt idx="353">
                  <c:v>71.63</c:v>
                </c:pt>
                <c:pt idx="354">
                  <c:v>71.5</c:v>
                </c:pt>
                <c:pt idx="355">
                  <c:v>71.540000000000006</c:v>
                </c:pt>
                <c:pt idx="356">
                  <c:v>70.849999999999994</c:v>
                </c:pt>
                <c:pt idx="357">
                  <c:v>68.8</c:v>
                </c:pt>
                <c:pt idx="358">
                  <c:v>68.5</c:v>
                </c:pt>
                <c:pt idx="359">
                  <c:v>70.95</c:v>
                </c:pt>
                <c:pt idx="360">
                  <c:v>70.3</c:v>
                </c:pt>
                <c:pt idx="361">
                  <c:v>69.59</c:v>
                </c:pt>
                <c:pt idx="362">
                  <c:v>69.64</c:v>
                </c:pt>
                <c:pt idx="363">
                  <c:v>69.06</c:v>
                </c:pt>
                <c:pt idx="364">
                  <c:v>68.599999999999994</c:v>
                </c:pt>
                <c:pt idx="365">
                  <c:v>69.510000000000005</c:v>
                </c:pt>
                <c:pt idx="366">
                  <c:v>68.33</c:v>
                </c:pt>
                <c:pt idx="367">
                  <c:v>68.69</c:v>
                </c:pt>
                <c:pt idx="368">
                  <c:v>70.08</c:v>
                </c:pt>
                <c:pt idx="369">
                  <c:v>70.430000000000007</c:v>
                </c:pt>
                <c:pt idx="370">
                  <c:v>70.8</c:v>
                </c:pt>
                <c:pt idx="371">
                  <c:v>69.05</c:v>
                </c:pt>
                <c:pt idx="372">
                  <c:v>68.400000000000006</c:v>
                </c:pt>
                <c:pt idx="373">
                  <c:v>68.150000000000006</c:v>
                </c:pt>
                <c:pt idx="374">
                  <c:v>69.709999999999994</c:v>
                </c:pt>
                <c:pt idx="375">
                  <c:v>69.25</c:v>
                </c:pt>
                <c:pt idx="376">
                  <c:v>67.87</c:v>
                </c:pt>
                <c:pt idx="377">
                  <c:v>65.66</c:v>
                </c:pt>
                <c:pt idx="378">
                  <c:v>66.28</c:v>
                </c:pt>
                <c:pt idx="379">
                  <c:v>66.319999999999993</c:v>
                </c:pt>
                <c:pt idx="380">
                  <c:v>65.61</c:v>
                </c:pt>
                <c:pt idx="381">
                  <c:v>66.3</c:v>
                </c:pt>
                <c:pt idx="382">
                  <c:v>65.599999999999994</c:v>
                </c:pt>
                <c:pt idx="383">
                  <c:v>67.27</c:v>
                </c:pt>
                <c:pt idx="384">
                  <c:v>68.739999999999995</c:v>
                </c:pt>
                <c:pt idx="385">
                  <c:v>70.349999999999994</c:v>
                </c:pt>
                <c:pt idx="386">
                  <c:v>72.06</c:v>
                </c:pt>
                <c:pt idx="387">
                  <c:v>72.86</c:v>
                </c:pt>
                <c:pt idx="388">
                  <c:v>71.8</c:v>
                </c:pt>
                <c:pt idx="389">
                  <c:v>71.37</c:v>
                </c:pt>
                <c:pt idx="390">
                  <c:v>71.86</c:v>
                </c:pt>
                <c:pt idx="391">
                  <c:v>71.260000000000005</c:v>
                </c:pt>
                <c:pt idx="392">
                  <c:v>73.040000000000006</c:v>
                </c:pt>
                <c:pt idx="393">
                  <c:v>100.48</c:v>
                </c:pt>
                <c:pt idx="394">
                  <c:v>100.26</c:v>
                </c:pt>
                <c:pt idx="395">
                  <c:v>99.01</c:v>
                </c:pt>
                <c:pt idx="396">
                  <c:v>99.53</c:v>
                </c:pt>
                <c:pt idx="397">
                  <c:v>100.24</c:v>
                </c:pt>
                <c:pt idx="398">
                  <c:v>100.8</c:v>
                </c:pt>
                <c:pt idx="399">
                  <c:v>102.2</c:v>
                </c:pt>
                <c:pt idx="400">
                  <c:v>104.5</c:v>
                </c:pt>
                <c:pt idx="401">
                  <c:v>104.28</c:v>
                </c:pt>
                <c:pt idx="402">
                  <c:v>104</c:v>
                </c:pt>
                <c:pt idx="403">
                  <c:v>103.58</c:v>
                </c:pt>
                <c:pt idx="404">
                  <c:v>104.58</c:v>
                </c:pt>
                <c:pt idx="405">
                  <c:v>101.83</c:v>
                </c:pt>
                <c:pt idx="406">
                  <c:v>101.5</c:v>
                </c:pt>
                <c:pt idx="407">
                  <c:v>102.16</c:v>
                </c:pt>
                <c:pt idx="408">
                  <c:v>100.41</c:v>
                </c:pt>
                <c:pt idx="409">
                  <c:v>100.36</c:v>
                </c:pt>
                <c:pt idx="410">
                  <c:v>102</c:v>
                </c:pt>
                <c:pt idx="411">
                  <c:v>101.68</c:v>
                </c:pt>
                <c:pt idx="412">
                  <c:v>102.15</c:v>
                </c:pt>
                <c:pt idx="413">
                  <c:v>99.78</c:v>
                </c:pt>
                <c:pt idx="414">
                  <c:v>103.3</c:v>
                </c:pt>
                <c:pt idx="415">
                  <c:v>103.6</c:v>
                </c:pt>
                <c:pt idx="416">
                  <c:v>104.96</c:v>
                </c:pt>
                <c:pt idx="417">
                  <c:v>102.49</c:v>
                </c:pt>
                <c:pt idx="418">
                  <c:v>102.97</c:v>
                </c:pt>
                <c:pt idx="419">
                  <c:v>102.18</c:v>
                </c:pt>
                <c:pt idx="420">
                  <c:v>102.26</c:v>
                </c:pt>
                <c:pt idx="421">
                  <c:v>103.17</c:v>
                </c:pt>
                <c:pt idx="422">
                  <c:v>99.8</c:v>
                </c:pt>
                <c:pt idx="423">
                  <c:v>100</c:v>
                </c:pt>
                <c:pt idx="424">
                  <c:v>100.46</c:v>
                </c:pt>
                <c:pt idx="425">
                  <c:v>107.65</c:v>
                </c:pt>
                <c:pt idx="426">
                  <c:v>105.61</c:v>
                </c:pt>
                <c:pt idx="427">
                  <c:v>107.17</c:v>
                </c:pt>
                <c:pt idx="428">
                  <c:v>104.54</c:v>
                </c:pt>
                <c:pt idx="429">
                  <c:v>105.27</c:v>
                </c:pt>
                <c:pt idx="430">
                  <c:v>104.35</c:v>
                </c:pt>
                <c:pt idx="431">
                  <c:v>108.08</c:v>
                </c:pt>
                <c:pt idx="432">
                  <c:v>108.85</c:v>
                </c:pt>
                <c:pt idx="433">
                  <c:v>108.11</c:v>
                </c:pt>
                <c:pt idx="434">
                  <c:v>115.89</c:v>
                </c:pt>
                <c:pt idx="435">
                  <c:v>113.87</c:v>
                </c:pt>
                <c:pt idx="436">
                  <c:v>112.26</c:v>
                </c:pt>
                <c:pt idx="437">
                  <c:v>113.67</c:v>
                </c:pt>
                <c:pt idx="438">
                  <c:v>112.39</c:v>
                </c:pt>
                <c:pt idx="439">
                  <c:v>115.52</c:v>
                </c:pt>
                <c:pt idx="440">
                  <c:v>110.43</c:v>
                </c:pt>
                <c:pt idx="441">
                  <c:v>112.92</c:v>
                </c:pt>
                <c:pt idx="442">
                  <c:v>111.23</c:v>
                </c:pt>
                <c:pt idx="443">
                  <c:v>112.34</c:v>
                </c:pt>
                <c:pt idx="444">
                  <c:v>111.18</c:v>
                </c:pt>
                <c:pt idx="445">
                  <c:v>112.38</c:v>
                </c:pt>
                <c:pt idx="446">
                  <c:v>108.52</c:v>
                </c:pt>
                <c:pt idx="447">
                  <c:v>111.01</c:v>
                </c:pt>
                <c:pt idx="448">
                  <c:v>107.28</c:v>
                </c:pt>
                <c:pt idx="449">
                  <c:v>106.2</c:v>
                </c:pt>
                <c:pt idx="450">
                  <c:v>107.08</c:v>
                </c:pt>
                <c:pt idx="451">
                  <c:v>100.6</c:v>
                </c:pt>
                <c:pt idx="452">
                  <c:v>103.02</c:v>
                </c:pt>
                <c:pt idx="453">
                  <c:v>104.61</c:v>
                </c:pt>
                <c:pt idx="454">
                  <c:v>107.93</c:v>
                </c:pt>
                <c:pt idx="455">
                  <c:v>110.65</c:v>
                </c:pt>
                <c:pt idx="456">
                  <c:v>119.8</c:v>
                </c:pt>
                <c:pt idx="457">
                  <c:v>119.46</c:v>
                </c:pt>
                <c:pt idx="458">
                  <c:v>122.47</c:v>
                </c:pt>
                <c:pt idx="459">
                  <c:v>122.01</c:v>
                </c:pt>
                <c:pt idx="460">
                  <c:v>118.67</c:v>
                </c:pt>
                <c:pt idx="461">
                  <c:v>120.04</c:v>
                </c:pt>
                <c:pt idx="462">
                  <c:v>125.14</c:v>
                </c:pt>
                <c:pt idx="463">
                  <c:v>125.49</c:v>
                </c:pt>
                <c:pt idx="464">
                  <c:v>121.8</c:v>
                </c:pt>
                <c:pt idx="465">
                  <c:v>124.59</c:v>
                </c:pt>
                <c:pt idx="466">
                  <c:v>123.59</c:v>
                </c:pt>
                <c:pt idx="467">
                  <c:v>129.21</c:v>
                </c:pt>
                <c:pt idx="468">
                  <c:v>126.32</c:v>
                </c:pt>
                <c:pt idx="469">
                  <c:v>122.8</c:v>
                </c:pt>
                <c:pt idx="470">
                  <c:v>122.51</c:v>
                </c:pt>
                <c:pt idx="471">
                  <c:v>124.95</c:v>
                </c:pt>
                <c:pt idx="472">
                  <c:v>119.69</c:v>
                </c:pt>
                <c:pt idx="473">
                  <c:v>120.82</c:v>
                </c:pt>
                <c:pt idx="474">
                  <c:v>118.75</c:v>
                </c:pt>
                <c:pt idx="475">
                  <c:v>117.13</c:v>
                </c:pt>
                <c:pt idx="476">
                  <c:v>118.9</c:v>
                </c:pt>
                <c:pt idx="477">
                  <c:v>117.81</c:v>
                </c:pt>
                <c:pt idx="478">
                  <c:v>116.04</c:v>
                </c:pt>
                <c:pt idx="479">
                  <c:v>112.39</c:v>
                </c:pt>
                <c:pt idx="480">
                  <c:v>113.84</c:v>
                </c:pt>
                <c:pt idx="481">
                  <c:v>115.43</c:v>
                </c:pt>
                <c:pt idx="482">
                  <c:v>113.53</c:v>
                </c:pt>
                <c:pt idx="483">
                  <c:v>113.52</c:v>
                </c:pt>
                <c:pt idx="484">
                  <c:v>112.91</c:v>
                </c:pt>
                <c:pt idx="485">
                  <c:v>114.71</c:v>
                </c:pt>
                <c:pt idx="486">
                  <c:v>114.2</c:v>
                </c:pt>
                <c:pt idx="487">
                  <c:v>112.38</c:v>
                </c:pt>
                <c:pt idx="488">
                  <c:v>113.36</c:v>
                </c:pt>
                <c:pt idx="489">
                  <c:v>108.72</c:v>
                </c:pt>
                <c:pt idx="490">
                  <c:v>104.07</c:v>
                </c:pt>
                <c:pt idx="491">
                  <c:v>102.36</c:v>
                </c:pt>
                <c:pt idx="492">
                  <c:v>99.49</c:v>
                </c:pt>
                <c:pt idx="493">
                  <c:v>99.98</c:v>
                </c:pt>
                <c:pt idx="494">
                  <c:v>99.64</c:v>
                </c:pt>
                <c:pt idx="495">
                  <c:v>97.7</c:v>
                </c:pt>
                <c:pt idx="496">
                  <c:v>97.89</c:v>
                </c:pt>
                <c:pt idx="497">
                  <c:v>98.39</c:v>
                </c:pt>
                <c:pt idx="498">
                  <c:v>97.09</c:v>
                </c:pt>
                <c:pt idx="499">
                  <c:v>96.28</c:v>
                </c:pt>
                <c:pt idx="500">
                  <c:v>98.18</c:v>
                </c:pt>
                <c:pt idx="501">
                  <c:v>98.29</c:v>
                </c:pt>
                <c:pt idx="502">
                  <c:v>96.86</c:v>
                </c:pt>
                <c:pt idx="503">
                  <c:v>99.55</c:v>
                </c:pt>
                <c:pt idx="504">
                  <c:v>97.99</c:v>
                </c:pt>
                <c:pt idx="505">
                  <c:v>98.68</c:v>
                </c:pt>
                <c:pt idx="506">
                  <c:v>98.43</c:v>
                </c:pt>
                <c:pt idx="507">
                  <c:v>99.51</c:v>
                </c:pt>
                <c:pt idx="508">
                  <c:v>99.91</c:v>
                </c:pt>
                <c:pt idx="509">
                  <c:v>99.05</c:v>
                </c:pt>
                <c:pt idx="510">
                  <c:v>98.35</c:v>
                </c:pt>
                <c:pt idx="511">
                  <c:v>97.69</c:v>
                </c:pt>
                <c:pt idx="512">
                  <c:v>97.02</c:v>
                </c:pt>
                <c:pt idx="513">
                  <c:v>96.02</c:v>
                </c:pt>
                <c:pt idx="514">
                  <c:v>96.75</c:v>
                </c:pt>
                <c:pt idx="515">
                  <c:v>96.21</c:v>
                </c:pt>
                <c:pt idx="516">
                  <c:v>95.95</c:v>
                </c:pt>
                <c:pt idx="517">
                  <c:v>95.67</c:v>
                </c:pt>
                <c:pt idx="518">
                  <c:v>111.89</c:v>
                </c:pt>
                <c:pt idx="519">
                  <c:v>116.84</c:v>
                </c:pt>
                <c:pt idx="520">
                  <c:v>118.83</c:v>
                </c:pt>
                <c:pt idx="521">
                  <c:v>116.75</c:v>
                </c:pt>
                <c:pt idx="522">
                  <c:v>114.7</c:v>
                </c:pt>
                <c:pt idx="523">
                  <c:v>112.15</c:v>
                </c:pt>
                <c:pt idx="524">
                  <c:v>107.98</c:v>
                </c:pt>
                <c:pt idx="525">
                  <c:v>107.12</c:v>
                </c:pt>
                <c:pt idx="526">
                  <c:v>104.88</c:v>
                </c:pt>
                <c:pt idx="527">
                  <c:v>107.84</c:v>
                </c:pt>
                <c:pt idx="528">
                  <c:v>109.95</c:v>
                </c:pt>
                <c:pt idx="529">
                  <c:v>111.15</c:v>
                </c:pt>
                <c:pt idx="530">
                  <c:v>110.07</c:v>
                </c:pt>
                <c:pt idx="531">
                  <c:v>111.36</c:v>
                </c:pt>
                <c:pt idx="532">
                  <c:v>115.81</c:v>
                </c:pt>
                <c:pt idx="533">
                  <c:v>113.38</c:v>
                </c:pt>
                <c:pt idx="534">
                  <c:v>116.49</c:v>
                </c:pt>
                <c:pt idx="535">
                  <c:v>114.46</c:v>
                </c:pt>
                <c:pt idx="536">
                  <c:v>115.09</c:v>
                </c:pt>
                <c:pt idx="537">
                  <c:v>113</c:v>
                </c:pt>
                <c:pt idx="538">
                  <c:v>114.9</c:v>
                </c:pt>
                <c:pt idx="539">
                  <c:v>113.8</c:v>
                </c:pt>
                <c:pt idx="540">
                  <c:v>114.15</c:v>
                </c:pt>
                <c:pt idx="541">
                  <c:v>114.83</c:v>
                </c:pt>
                <c:pt idx="542">
                  <c:v>114.6</c:v>
                </c:pt>
                <c:pt idx="543">
                  <c:v>112.64</c:v>
                </c:pt>
                <c:pt idx="544">
                  <c:v>113.75</c:v>
                </c:pt>
                <c:pt idx="545">
                  <c:v>114.38</c:v>
                </c:pt>
                <c:pt idx="546">
                  <c:v>115.38</c:v>
                </c:pt>
                <c:pt idx="547">
                  <c:v>113.52</c:v>
                </c:pt>
                <c:pt idx="548">
                  <c:v>110.8</c:v>
                </c:pt>
                <c:pt idx="549">
                  <c:v>111.28</c:v>
                </c:pt>
                <c:pt idx="550">
                  <c:v>111.85</c:v>
                </c:pt>
                <c:pt idx="551">
                  <c:v>113.58</c:v>
                </c:pt>
                <c:pt idx="552">
                  <c:v>116.13</c:v>
                </c:pt>
                <c:pt idx="553">
                  <c:v>120.17</c:v>
                </c:pt>
                <c:pt idx="554">
                  <c:v>117.49</c:v>
                </c:pt>
                <c:pt idx="555">
                  <c:v>116.07</c:v>
                </c:pt>
                <c:pt idx="556">
                  <c:v>118.79</c:v>
                </c:pt>
                <c:pt idx="557">
                  <c:v>115.89</c:v>
                </c:pt>
                <c:pt idx="558">
                  <c:v>113.29</c:v>
                </c:pt>
                <c:pt idx="559">
                  <c:v>120.22</c:v>
                </c:pt>
                <c:pt idx="560">
                  <c:v>119.62</c:v>
                </c:pt>
                <c:pt idx="561">
                  <c:v>114.55</c:v>
                </c:pt>
                <c:pt idx="562">
                  <c:v>112.05</c:v>
                </c:pt>
                <c:pt idx="563">
                  <c:v>114.01</c:v>
                </c:pt>
                <c:pt idx="564">
                  <c:v>113.52</c:v>
                </c:pt>
                <c:pt idx="565">
                  <c:v>112.8</c:v>
                </c:pt>
                <c:pt idx="566">
                  <c:v>113.45</c:v>
                </c:pt>
                <c:pt idx="567">
                  <c:v>111.89</c:v>
                </c:pt>
                <c:pt idx="568">
                  <c:v>111.86</c:v>
                </c:pt>
                <c:pt idx="569">
                  <c:v>112.17</c:v>
                </c:pt>
                <c:pt idx="570">
                  <c:v>113.88</c:v>
                </c:pt>
                <c:pt idx="571">
                  <c:v>113.59</c:v>
                </c:pt>
                <c:pt idx="572">
                  <c:v>111.71</c:v>
                </c:pt>
                <c:pt idx="573">
                  <c:v>113.73</c:v>
                </c:pt>
                <c:pt idx="574">
                  <c:v>112.32</c:v>
                </c:pt>
                <c:pt idx="575">
                  <c:v>112.62</c:v>
                </c:pt>
                <c:pt idx="576">
                  <c:v>110.85</c:v>
                </c:pt>
                <c:pt idx="577">
                  <c:v>108.61</c:v>
                </c:pt>
                <c:pt idx="578">
                  <c:v>107.33</c:v>
                </c:pt>
                <c:pt idx="579">
                  <c:v>103.59</c:v>
                </c:pt>
                <c:pt idx="580">
                  <c:v>105.75</c:v>
                </c:pt>
                <c:pt idx="581">
                  <c:v>99.74</c:v>
                </c:pt>
                <c:pt idx="582">
                  <c:v>100.26</c:v>
                </c:pt>
                <c:pt idx="583">
                  <c:v>103.7</c:v>
                </c:pt>
                <c:pt idx="584">
                  <c:v>103.68</c:v>
                </c:pt>
                <c:pt idx="585">
                  <c:v>106.44</c:v>
                </c:pt>
                <c:pt idx="586">
                  <c:v>105.96</c:v>
                </c:pt>
                <c:pt idx="587">
                  <c:v>107.77</c:v>
                </c:pt>
                <c:pt idx="588">
                  <c:v>106.7</c:v>
                </c:pt>
                <c:pt idx="589">
                  <c:v>105.56</c:v>
                </c:pt>
                <c:pt idx="590">
                  <c:v>103.78</c:v>
                </c:pt>
                <c:pt idx="591">
                  <c:v>99.89</c:v>
                </c:pt>
                <c:pt idx="592">
                  <c:v>101.41</c:v>
                </c:pt>
                <c:pt idx="593">
                  <c:v>102.3</c:v>
                </c:pt>
                <c:pt idx="594">
                  <c:v>103.71</c:v>
                </c:pt>
                <c:pt idx="595">
                  <c:v>104.49</c:v>
                </c:pt>
                <c:pt idx="596">
                  <c:v>104</c:v>
                </c:pt>
                <c:pt idx="597">
                  <c:v>105.39</c:v>
                </c:pt>
                <c:pt idx="598">
                  <c:v>103.12</c:v>
                </c:pt>
                <c:pt idx="599">
                  <c:v>102.99</c:v>
                </c:pt>
                <c:pt idx="600">
                  <c:v>105.69</c:v>
                </c:pt>
                <c:pt idx="601">
                  <c:v>108.91</c:v>
                </c:pt>
                <c:pt idx="602">
                  <c:v>112.61</c:v>
                </c:pt>
                <c:pt idx="603">
                  <c:v>114.18</c:v>
                </c:pt>
                <c:pt idx="604">
                  <c:v>114.61</c:v>
                </c:pt>
                <c:pt idx="605">
                  <c:v>114.38</c:v>
                </c:pt>
                <c:pt idx="606">
                  <c:v>112.6</c:v>
                </c:pt>
                <c:pt idx="607">
                  <c:v>111.21</c:v>
                </c:pt>
                <c:pt idx="608">
                  <c:v>108.55</c:v>
                </c:pt>
                <c:pt idx="609">
                  <c:v>111.49</c:v>
                </c:pt>
                <c:pt idx="610">
                  <c:v>111.91</c:v>
                </c:pt>
                <c:pt idx="611">
                  <c:v>112.26</c:v>
                </c:pt>
                <c:pt idx="612">
                  <c:v>112.55</c:v>
                </c:pt>
                <c:pt idx="613">
                  <c:v>108.32</c:v>
                </c:pt>
                <c:pt idx="614">
                  <c:v>106.27</c:v>
                </c:pt>
                <c:pt idx="615">
                  <c:v>106.04</c:v>
                </c:pt>
                <c:pt idx="616">
                  <c:v>103.97</c:v>
                </c:pt>
                <c:pt idx="617">
                  <c:v>100.32</c:v>
                </c:pt>
                <c:pt idx="618">
                  <c:v>97.51</c:v>
                </c:pt>
                <c:pt idx="619">
                  <c:v>97.11</c:v>
                </c:pt>
                <c:pt idx="620">
                  <c:v>97.67</c:v>
                </c:pt>
                <c:pt idx="621">
                  <c:v>97.42</c:v>
                </c:pt>
                <c:pt idx="622">
                  <c:v>96.5</c:v>
                </c:pt>
                <c:pt idx="623">
                  <c:v>95.89</c:v>
                </c:pt>
                <c:pt idx="624">
                  <c:v>93.51</c:v>
                </c:pt>
                <c:pt idx="625">
                  <c:v>93.34</c:v>
                </c:pt>
                <c:pt idx="626">
                  <c:v>93.39</c:v>
                </c:pt>
                <c:pt idx="627">
                  <c:v>93.35</c:v>
                </c:pt>
                <c:pt idx="628">
                  <c:v>93.13</c:v>
                </c:pt>
                <c:pt idx="629">
                  <c:v>95.14</c:v>
                </c:pt>
                <c:pt idx="630">
                  <c:v>94.08</c:v>
                </c:pt>
                <c:pt idx="631">
                  <c:v>93.86</c:v>
                </c:pt>
                <c:pt idx="632">
                  <c:v>95.2</c:v>
                </c:pt>
                <c:pt idx="633">
                  <c:v>94.62</c:v>
                </c:pt>
                <c:pt idx="634">
                  <c:v>90.37</c:v>
                </c:pt>
                <c:pt idx="635">
                  <c:v>91.66</c:v>
                </c:pt>
                <c:pt idx="636">
                  <c:v>87.43</c:v>
                </c:pt>
                <c:pt idx="637">
                  <c:v>87.94</c:v>
                </c:pt>
                <c:pt idx="638">
                  <c:v>88.12</c:v>
                </c:pt>
                <c:pt idx="639">
                  <c:v>88.14</c:v>
                </c:pt>
                <c:pt idx="640">
                  <c:v>88.33</c:v>
                </c:pt>
                <c:pt idx="641">
                  <c:v>85.48</c:v>
                </c:pt>
                <c:pt idx="642">
                  <c:v>87.82</c:v>
                </c:pt>
                <c:pt idx="643">
                  <c:v>87.42</c:v>
                </c:pt>
                <c:pt idx="644">
                  <c:v>86.07</c:v>
                </c:pt>
                <c:pt idx="645">
                  <c:v>86.47</c:v>
                </c:pt>
                <c:pt idx="646">
                  <c:v>86.28</c:v>
                </c:pt>
                <c:pt idx="647">
                  <c:v>86.2</c:v>
                </c:pt>
                <c:pt idx="648">
                  <c:v>88.84</c:v>
                </c:pt>
                <c:pt idx="649">
                  <c:v>88.39</c:v>
                </c:pt>
                <c:pt idx="650">
                  <c:v>90</c:v>
                </c:pt>
                <c:pt idx="651">
                  <c:v>90.98</c:v>
                </c:pt>
                <c:pt idx="652">
                  <c:v>91.7</c:v>
                </c:pt>
                <c:pt idx="653">
                  <c:v>92.76</c:v>
                </c:pt>
                <c:pt idx="654">
                  <c:v>92.22</c:v>
                </c:pt>
                <c:pt idx="655">
                  <c:v>90.92</c:v>
                </c:pt>
                <c:pt idx="656">
                  <c:v>92.99</c:v>
                </c:pt>
                <c:pt idx="657">
                  <c:v>93.42</c:v>
                </c:pt>
                <c:pt idx="658">
                  <c:v>93.26</c:v>
                </c:pt>
                <c:pt idx="659">
                  <c:v>94.9</c:v>
                </c:pt>
                <c:pt idx="660">
                  <c:v>94.83</c:v>
                </c:pt>
                <c:pt idx="661">
                  <c:v>93.92</c:v>
                </c:pt>
                <c:pt idx="662">
                  <c:v>94.1</c:v>
                </c:pt>
                <c:pt idx="663">
                  <c:v>93.73</c:v>
                </c:pt>
                <c:pt idx="664">
                  <c:v>95.12</c:v>
                </c:pt>
                <c:pt idx="665">
                  <c:v>95.47</c:v>
                </c:pt>
                <c:pt idx="666">
                  <c:v>95.47</c:v>
                </c:pt>
                <c:pt idx="667">
                  <c:v>94.56</c:v>
                </c:pt>
                <c:pt idx="668">
                  <c:v>94.81</c:v>
                </c:pt>
                <c:pt idx="669">
                  <c:v>96.5</c:v>
                </c:pt>
                <c:pt idx="670">
                  <c:v>94.13</c:v>
                </c:pt>
                <c:pt idx="671">
                  <c:v>94.55</c:v>
                </c:pt>
                <c:pt idx="672">
                  <c:v>95.21</c:v>
                </c:pt>
                <c:pt idx="673">
                  <c:v>95.65</c:v>
                </c:pt>
                <c:pt idx="674">
                  <c:v>96.87</c:v>
                </c:pt>
                <c:pt idx="675">
                  <c:v>95.93</c:v>
                </c:pt>
                <c:pt idx="676">
                  <c:v>96.1</c:v>
                </c:pt>
                <c:pt idx="677">
                  <c:v>94.34</c:v>
                </c:pt>
                <c:pt idx="678">
                  <c:v>94.51</c:v>
                </c:pt>
                <c:pt idx="679">
                  <c:v>97.21</c:v>
                </c:pt>
                <c:pt idx="680">
                  <c:v>99.34</c:v>
                </c:pt>
                <c:pt idx="681">
                  <c:v>98.72</c:v>
                </c:pt>
                <c:pt idx="682">
                  <c:v>106.24</c:v>
                </c:pt>
                <c:pt idx="683">
                  <c:v>107.17</c:v>
                </c:pt>
                <c:pt idx="684">
                  <c:v>108.45</c:v>
                </c:pt>
                <c:pt idx="685">
                  <c:v>107.39</c:v>
                </c:pt>
                <c:pt idx="686">
                  <c:v>106.46</c:v>
                </c:pt>
                <c:pt idx="687">
                  <c:v>105.75</c:v>
                </c:pt>
                <c:pt idx="688">
                  <c:v>103.78</c:v>
                </c:pt>
                <c:pt idx="689">
                  <c:v>101.53</c:v>
                </c:pt>
                <c:pt idx="690">
                  <c:v>99.73</c:v>
                </c:pt>
                <c:pt idx="691">
                  <c:v>102.22</c:v>
                </c:pt>
                <c:pt idx="692">
                  <c:v>100.16</c:v>
                </c:pt>
                <c:pt idx="693">
                  <c:v>100.62</c:v>
                </c:pt>
                <c:pt idx="694">
                  <c:v>98.96</c:v>
                </c:pt>
                <c:pt idx="695">
                  <c:v>98.25</c:v>
                </c:pt>
                <c:pt idx="696">
                  <c:v>97.22</c:v>
                </c:pt>
                <c:pt idx="697">
                  <c:v>99.52</c:v>
                </c:pt>
                <c:pt idx="698">
                  <c:v>103.19</c:v>
                </c:pt>
                <c:pt idx="699">
                  <c:v>101.88</c:v>
                </c:pt>
                <c:pt idx="700">
                  <c:v>104.36</c:v>
                </c:pt>
                <c:pt idx="701">
                  <c:v>105.1</c:v>
                </c:pt>
                <c:pt idx="702">
                  <c:v>106.2</c:v>
                </c:pt>
                <c:pt idx="703">
                  <c:v>106.72</c:v>
                </c:pt>
                <c:pt idx="704">
                  <c:v>106.88</c:v>
                </c:pt>
                <c:pt idx="705">
                  <c:v>105.84</c:v>
                </c:pt>
                <c:pt idx="706">
                  <c:v>106.11</c:v>
                </c:pt>
                <c:pt idx="707">
                  <c:v>110.21</c:v>
                </c:pt>
                <c:pt idx="708">
                  <c:v>110.02</c:v>
                </c:pt>
                <c:pt idx="709">
                  <c:v>109.49</c:v>
                </c:pt>
                <c:pt idx="710">
                  <c:v>106.98</c:v>
                </c:pt>
                <c:pt idx="711">
                  <c:v>106.97</c:v>
                </c:pt>
                <c:pt idx="712">
                  <c:v>107.13</c:v>
                </c:pt>
                <c:pt idx="713">
                  <c:v>106.75</c:v>
                </c:pt>
                <c:pt idx="714">
                  <c:v>107.09</c:v>
                </c:pt>
                <c:pt idx="715">
                  <c:v>104.79</c:v>
                </c:pt>
                <c:pt idx="716">
                  <c:v>105.84</c:v>
                </c:pt>
                <c:pt idx="717">
                  <c:v>106.77</c:v>
                </c:pt>
                <c:pt idx="718">
                  <c:v>107.38</c:v>
                </c:pt>
                <c:pt idx="719">
                  <c:v>104.87</c:v>
                </c:pt>
                <c:pt idx="720">
                  <c:v>106.87</c:v>
                </c:pt>
                <c:pt idx="721">
                  <c:v>105.32</c:v>
                </c:pt>
                <c:pt idx="722">
                  <c:v>104.08</c:v>
                </c:pt>
                <c:pt idx="723">
                  <c:v>103.84</c:v>
                </c:pt>
                <c:pt idx="724">
                  <c:v>100.23</c:v>
                </c:pt>
                <c:pt idx="725">
                  <c:v>98.54</c:v>
                </c:pt>
                <c:pt idx="726">
                  <c:v>97.59</c:v>
                </c:pt>
                <c:pt idx="727">
                  <c:v>103.12</c:v>
                </c:pt>
                <c:pt idx="728">
                  <c:v>102.03</c:v>
                </c:pt>
                <c:pt idx="729">
                  <c:v>101.34</c:v>
                </c:pt>
                <c:pt idx="730">
                  <c:v>100.66</c:v>
                </c:pt>
                <c:pt idx="731">
                  <c:v>102.03</c:v>
                </c:pt>
                <c:pt idx="732">
                  <c:v>98.77</c:v>
                </c:pt>
                <c:pt idx="733">
                  <c:v>97.32</c:v>
                </c:pt>
                <c:pt idx="734">
                  <c:v>101.02</c:v>
                </c:pt>
                <c:pt idx="735">
                  <c:v>100.8</c:v>
                </c:pt>
                <c:pt idx="736">
                  <c:v>102.86</c:v>
                </c:pt>
                <c:pt idx="737">
                  <c:v>102.62</c:v>
                </c:pt>
                <c:pt idx="738">
                  <c:v>102.51</c:v>
                </c:pt>
                <c:pt idx="739">
                  <c:v>103.6</c:v>
                </c:pt>
                <c:pt idx="740">
                  <c:v>102.88</c:v>
                </c:pt>
                <c:pt idx="741">
                  <c:v>100.6</c:v>
                </c:pt>
                <c:pt idx="742">
                  <c:v>98.36</c:v>
                </c:pt>
                <c:pt idx="743">
                  <c:v>99.04</c:v>
                </c:pt>
                <c:pt idx="744">
                  <c:v>98.76</c:v>
                </c:pt>
                <c:pt idx="745">
                  <c:v>96.87</c:v>
                </c:pt>
                <c:pt idx="746">
                  <c:v>95.9</c:v>
                </c:pt>
                <c:pt idx="747">
                  <c:v>98.04</c:v>
                </c:pt>
                <c:pt idx="748">
                  <c:v>98.43</c:v>
                </c:pt>
                <c:pt idx="749">
                  <c:v>97.26</c:v>
                </c:pt>
                <c:pt idx="750">
                  <c:v>99.28</c:v>
                </c:pt>
                <c:pt idx="751">
                  <c:v>100.04</c:v>
                </c:pt>
                <c:pt idx="752">
                  <c:v>94.29</c:v>
                </c:pt>
                <c:pt idx="753">
                  <c:v>93.75</c:v>
                </c:pt>
                <c:pt idx="754">
                  <c:v>94.12</c:v>
                </c:pt>
                <c:pt idx="755">
                  <c:v>96.12</c:v>
                </c:pt>
                <c:pt idx="756">
                  <c:v>95.04</c:v>
                </c:pt>
                <c:pt idx="757">
                  <c:v>95.02</c:v>
                </c:pt>
                <c:pt idx="758">
                  <c:v>92.48</c:v>
                </c:pt>
                <c:pt idx="759">
                  <c:v>90.59</c:v>
                </c:pt>
                <c:pt idx="760">
                  <c:v>93.02</c:v>
                </c:pt>
                <c:pt idx="761">
                  <c:v>90.24</c:v>
                </c:pt>
                <c:pt idx="762">
                  <c:v>90.56</c:v>
                </c:pt>
                <c:pt idx="763">
                  <c:v>92.59</c:v>
                </c:pt>
                <c:pt idx="764">
                  <c:v>93.14</c:v>
                </c:pt>
                <c:pt idx="765">
                  <c:v>94.17</c:v>
                </c:pt>
                <c:pt idx="766">
                  <c:v>92.91</c:v>
                </c:pt>
                <c:pt idx="767">
                  <c:v>93.99</c:v>
                </c:pt>
                <c:pt idx="768">
                  <c:v>93.62</c:v>
                </c:pt>
                <c:pt idx="769">
                  <c:v>93.43</c:v>
                </c:pt>
                <c:pt idx="770">
                  <c:v>92.84</c:v>
                </c:pt>
                <c:pt idx="771">
                  <c:v>92.08</c:v>
                </c:pt>
                <c:pt idx="772">
                  <c:v>90.33</c:v>
                </c:pt>
                <c:pt idx="773">
                  <c:v>89.79</c:v>
                </c:pt>
                <c:pt idx="774">
                  <c:v>89.69</c:v>
                </c:pt>
                <c:pt idx="775">
                  <c:v>92.01</c:v>
                </c:pt>
                <c:pt idx="776">
                  <c:v>92.95</c:v>
                </c:pt>
                <c:pt idx="777">
                  <c:v>92.96</c:v>
                </c:pt>
                <c:pt idx="778">
                  <c:v>92.6</c:v>
                </c:pt>
                <c:pt idx="779">
                  <c:v>93.53</c:v>
                </c:pt>
                <c:pt idx="780">
                  <c:v>93.62</c:v>
                </c:pt>
                <c:pt idx="781">
                  <c:v>93.58</c:v>
                </c:pt>
                <c:pt idx="782">
                  <c:v>93.62</c:v>
                </c:pt>
                <c:pt idx="783">
                  <c:v>93.52</c:v>
                </c:pt>
                <c:pt idx="784">
                  <c:v>95.1</c:v>
                </c:pt>
                <c:pt idx="785">
                  <c:v>95.2</c:v>
                </c:pt>
                <c:pt idx="786">
                  <c:v>94.73</c:v>
                </c:pt>
                <c:pt idx="787">
                  <c:v>95</c:v>
                </c:pt>
                <c:pt idx="788">
                  <c:v>97.25</c:v>
                </c:pt>
                <c:pt idx="789">
                  <c:v>100.87</c:v>
                </c:pt>
                <c:pt idx="790">
                  <c:v>101.57</c:v>
                </c:pt>
                <c:pt idx="791">
                  <c:v>100.88</c:v>
                </c:pt>
                <c:pt idx="792">
                  <c:v>100.19</c:v>
                </c:pt>
                <c:pt idx="793">
                  <c:v>97.61</c:v>
                </c:pt>
                <c:pt idx="794">
                  <c:v>98.52</c:v>
                </c:pt>
                <c:pt idx="795">
                  <c:v>100.92</c:v>
                </c:pt>
                <c:pt idx="796">
                  <c:v>102.48</c:v>
                </c:pt>
                <c:pt idx="797">
                  <c:v>99.47</c:v>
                </c:pt>
                <c:pt idx="798">
                  <c:v>100.92</c:v>
                </c:pt>
                <c:pt idx="799">
                  <c:v>99.21</c:v>
                </c:pt>
                <c:pt idx="800">
                  <c:v>96.65</c:v>
                </c:pt>
                <c:pt idx="801">
                  <c:v>97.15</c:v>
                </c:pt>
                <c:pt idx="802">
                  <c:v>94.07</c:v>
                </c:pt>
                <c:pt idx="803">
                  <c:v>96.28</c:v>
                </c:pt>
                <c:pt idx="804">
                  <c:v>94.67</c:v>
                </c:pt>
                <c:pt idx="805">
                  <c:v>95.33</c:v>
                </c:pt>
                <c:pt idx="806">
                  <c:v>97.54</c:v>
                </c:pt>
                <c:pt idx="807">
                  <c:v>101.33</c:v>
                </c:pt>
                <c:pt idx="808">
                  <c:v>100.05</c:v>
                </c:pt>
                <c:pt idx="809">
                  <c:v>100.75</c:v>
                </c:pt>
                <c:pt idx="810">
                  <c:v>102.7</c:v>
                </c:pt>
                <c:pt idx="811">
                  <c:v>101.24</c:v>
                </c:pt>
                <c:pt idx="812">
                  <c:v>100.45</c:v>
                </c:pt>
                <c:pt idx="813">
                  <c:v>100.89</c:v>
                </c:pt>
                <c:pt idx="814">
                  <c:v>100.03</c:v>
                </c:pt>
                <c:pt idx="815">
                  <c:v>100.67</c:v>
                </c:pt>
                <c:pt idx="816">
                  <c:v>103.08</c:v>
                </c:pt>
                <c:pt idx="817">
                  <c:v>100.21</c:v>
                </c:pt>
                <c:pt idx="818">
                  <c:v>100.32</c:v>
                </c:pt>
                <c:pt idx="819">
                  <c:v>103.08</c:v>
                </c:pt>
                <c:pt idx="820">
                  <c:v>104.44</c:v>
                </c:pt>
                <c:pt idx="821">
                  <c:v>105.27</c:v>
                </c:pt>
                <c:pt idx="822">
                  <c:v>106.43</c:v>
                </c:pt>
                <c:pt idx="823">
                  <c:v>105.42</c:v>
                </c:pt>
                <c:pt idx="824">
                  <c:v>103.31</c:v>
                </c:pt>
                <c:pt idx="825">
                  <c:v>105.95</c:v>
                </c:pt>
                <c:pt idx="826">
                  <c:v>105.87</c:v>
                </c:pt>
                <c:pt idx="827">
                  <c:v>108.56</c:v>
                </c:pt>
                <c:pt idx="828">
                  <c:v>102.24</c:v>
                </c:pt>
                <c:pt idx="829">
                  <c:v>106.88</c:v>
                </c:pt>
                <c:pt idx="830">
                  <c:v>106.97</c:v>
                </c:pt>
                <c:pt idx="831">
                  <c:v>113.53</c:v>
                </c:pt>
                <c:pt idx="832">
                  <c:v>108.66</c:v>
                </c:pt>
                <c:pt idx="833">
                  <c:v>107.69</c:v>
                </c:pt>
                <c:pt idx="834">
                  <c:v>111.61</c:v>
                </c:pt>
                <c:pt idx="835">
                  <c:v>112.53</c:v>
                </c:pt>
                <c:pt idx="836">
                  <c:v>110.11</c:v>
                </c:pt>
                <c:pt idx="837">
                  <c:v>108.11</c:v>
                </c:pt>
                <c:pt idx="838">
                  <c:v>109.43</c:v>
                </c:pt>
                <c:pt idx="839">
                  <c:v>102.39</c:v>
                </c:pt>
                <c:pt idx="840">
                  <c:v>98.79</c:v>
                </c:pt>
                <c:pt idx="841">
                  <c:v>100.97</c:v>
                </c:pt>
                <c:pt idx="842">
                  <c:v>101.27</c:v>
                </c:pt>
                <c:pt idx="843">
                  <c:v>100.4</c:v>
                </c:pt>
                <c:pt idx="844">
                  <c:v>99.66</c:v>
                </c:pt>
                <c:pt idx="845">
                  <c:v>99.05</c:v>
                </c:pt>
                <c:pt idx="846">
                  <c:v>96.18</c:v>
                </c:pt>
                <c:pt idx="847">
                  <c:v>95.21</c:v>
                </c:pt>
                <c:pt idx="848">
                  <c:v>93.35</c:v>
                </c:pt>
                <c:pt idx="849">
                  <c:v>90.29</c:v>
                </c:pt>
                <c:pt idx="850">
                  <c:v>91</c:v>
                </c:pt>
                <c:pt idx="851">
                  <c:v>89.14</c:v>
                </c:pt>
                <c:pt idx="852">
                  <c:v>90.64</c:v>
                </c:pt>
                <c:pt idx="853">
                  <c:v>90.31</c:v>
                </c:pt>
                <c:pt idx="854">
                  <c:v>87.79</c:v>
                </c:pt>
                <c:pt idx="855">
                  <c:v>89.53</c:v>
                </c:pt>
                <c:pt idx="856">
                  <c:v>90.5</c:v>
                </c:pt>
                <c:pt idx="857">
                  <c:v>91.07</c:v>
                </c:pt>
                <c:pt idx="858">
                  <c:v>93.17</c:v>
                </c:pt>
                <c:pt idx="859">
                  <c:v>90.83</c:v>
                </c:pt>
                <c:pt idx="860">
                  <c:v>93.02</c:v>
                </c:pt>
                <c:pt idx="861">
                  <c:v>94.59</c:v>
                </c:pt>
                <c:pt idx="862">
                  <c:v>96.85</c:v>
                </c:pt>
                <c:pt idx="863">
                  <c:v>100.94</c:v>
                </c:pt>
                <c:pt idx="864">
                  <c:v>102.2</c:v>
                </c:pt>
                <c:pt idx="865">
                  <c:v>99.2</c:v>
                </c:pt>
                <c:pt idx="866">
                  <c:v>97.6</c:v>
                </c:pt>
                <c:pt idx="867">
                  <c:v>98.78</c:v>
                </c:pt>
                <c:pt idx="868">
                  <c:v>95.42</c:v>
                </c:pt>
                <c:pt idx="869">
                  <c:v>95.7</c:v>
                </c:pt>
                <c:pt idx="870">
                  <c:v>97.56</c:v>
                </c:pt>
                <c:pt idx="871">
                  <c:v>97.19</c:v>
                </c:pt>
                <c:pt idx="872">
                  <c:v>97.25</c:v>
                </c:pt>
                <c:pt idx="873">
                  <c:v>99.25</c:v>
                </c:pt>
                <c:pt idx="874">
                  <c:v>93.98</c:v>
                </c:pt>
                <c:pt idx="875">
                  <c:v>94.21</c:v>
                </c:pt>
                <c:pt idx="876">
                  <c:v>95.94</c:v>
                </c:pt>
                <c:pt idx="877">
                  <c:v>97.58</c:v>
                </c:pt>
                <c:pt idx="878">
                  <c:v>96.93</c:v>
                </c:pt>
                <c:pt idx="879">
                  <c:v>94.83</c:v>
                </c:pt>
                <c:pt idx="880">
                  <c:v>98.92</c:v>
                </c:pt>
                <c:pt idx="881">
                  <c:v>97.7</c:v>
                </c:pt>
                <c:pt idx="882">
                  <c:v>92.83</c:v>
                </c:pt>
                <c:pt idx="883">
                  <c:v>98.75</c:v>
                </c:pt>
                <c:pt idx="884">
                  <c:v>94.41</c:v>
                </c:pt>
                <c:pt idx="885">
                  <c:v>96.78</c:v>
                </c:pt>
                <c:pt idx="886">
                  <c:v>94.68</c:v>
                </c:pt>
                <c:pt idx="887">
                  <c:v>84.9</c:v>
                </c:pt>
                <c:pt idx="888">
                  <c:v>88.14</c:v>
                </c:pt>
                <c:pt idx="889">
                  <c:v>88.11</c:v>
                </c:pt>
                <c:pt idx="890">
                  <c:v>86.85</c:v>
                </c:pt>
                <c:pt idx="891">
                  <c:v>82.67</c:v>
                </c:pt>
                <c:pt idx="892">
                  <c:v>84.48</c:v>
                </c:pt>
                <c:pt idx="893">
                  <c:v>86.51</c:v>
                </c:pt>
                <c:pt idx="894">
                  <c:v>86.08</c:v>
                </c:pt>
                <c:pt idx="895">
                  <c:v>88.46</c:v>
                </c:pt>
                <c:pt idx="896">
                  <c:v>84.99</c:v>
                </c:pt>
                <c:pt idx="897">
                  <c:v>85.42</c:v>
                </c:pt>
                <c:pt idx="898">
                  <c:v>86.04</c:v>
                </c:pt>
                <c:pt idx="899">
                  <c:v>86.01</c:v>
                </c:pt>
                <c:pt idx="900">
                  <c:v>85.49</c:v>
                </c:pt>
                <c:pt idx="901">
                  <c:v>82.12</c:v>
                </c:pt>
                <c:pt idx="902">
                  <c:v>81.78</c:v>
                </c:pt>
                <c:pt idx="903">
                  <c:v>81.290000000000006</c:v>
                </c:pt>
                <c:pt idx="904">
                  <c:v>80.97</c:v>
                </c:pt>
                <c:pt idx="905">
                  <c:v>79.64</c:v>
                </c:pt>
                <c:pt idx="906">
                  <c:v>81.92</c:v>
                </c:pt>
                <c:pt idx="907">
                  <c:v>78.34</c:v>
                </c:pt>
                <c:pt idx="908">
                  <c:v>78.62</c:v>
                </c:pt>
                <c:pt idx="909">
                  <c:v>81.96</c:v>
                </c:pt>
                <c:pt idx="910">
                  <c:v>81.510000000000005</c:v>
                </c:pt>
                <c:pt idx="911">
                  <c:v>85.46</c:v>
                </c:pt>
                <c:pt idx="912">
                  <c:v>87.35</c:v>
                </c:pt>
                <c:pt idx="913">
                  <c:v>86.07</c:v>
                </c:pt>
                <c:pt idx="914">
                  <c:v>82.32</c:v>
                </c:pt>
                <c:pt idx="915">
                  <c:v>79.41</c:v>
                </c:pt>
                <c:pt idx="916">
                  <c:v>81.790000000000006</c:v>
                </c:pt>
                <c:pt idx="917">
                  <c:v>82.67</c:v>
                </c:pt>
                <c:pt idx="918">
                  <c:v>82.26</c:v>
                </c:pt>
                <c:pt idx="919">
                  <c:v>81.540000000000006</c:v>
                </c:pt>
                <c:pt idx="920">
                  <c:v>82.32</c:v>
                </c:pt>
                <c:pt idx="921">
                  <c:v>81.97</c:v>
                </c:pt>
                <c:pt idx="922">
                  <c:v>84.47</c:v>
                </c:pt>
                <c:pt idx="923">
                  <c:v>85.82</c:v>
                </c:pt>
                <c:pt idx="924">
                  <c:v>87.19</c:v>
                </c:pt>
                <c:pt idx="925">
                  <c:v>85.93</c:v>
                </c:pt>
                <c:pt idx="926">
                  <c:v>85.43</c:v>
                </c:pt>
                <c:pt idx="927">
                  <c:v>85.94</c:v>
                </c:pt>
                <c:pt idx="928">
                  <c:v>86.22</c:v>
                </c:pt>
                <c:pt idx="929">
                  <c:v>93.41</c:v>
                </c:pt>
                <c:pt idx="930">
                  <c:v>93.53</c:v>
                </c:pt>
                <c:pt idx="931">
                  <c:v>91.12</c:v>
                </c:pt>
                <c:pt idx="932">
                  <c:v>90.06</c:v>
                </c:pt>
                <c:pt idx="933">
                  <c:v>88.8</c:v>
                </c:pt>
                <c:pt idx="934">
                  <c:v>90.14</c:v>
                </c:pt>
                <c:pt idx="935">
                  <c:v>90.08</c:v>
                </c:pt>
                <c:pt idx="936">
                  <c:v>89.78</c:v>
                </c:pt>
                <c:pt idx="937">
                  <c:v>91.75</c:v>
                </c:pt>
                <c:pt idx="938">
                  <c:v>93.8</c:v>
                </c:pt>
                <c:pt idx="939">
                  <c:v>95.7</c:v>
                </c:pt>
                <c:pt idx="940">
                  <c:v>101.96</c:v>
                </c:pt>
                <c:pt idx="941">
                  <c:v>98.06</c:v>
                </c:pt>
                <c:pt idx="942">
                  <c:v>98.72</c:v>
                </c:pt>
                <c:pt idx="943">
                  <c:v>99.45</c:v>
                </c:pt>
                <c:pt idx="944">
                  <c:v>103.7</c:v>
                </c:pt>
                <c:pt idx="945">
                  <c:v>107.05</c:v>
                </c:pt>
                <c:pt idx="946">
                  <c:v>105.42</c:v>
                </c:pt>
                <c:pt idx="947">
                  <c:v>107.91</c:v>
                </c:pt>
                <c:pt idx="948">
                  <c:v>108.92</c:v>
                </c:pt>
                <c:pt idx="949">
                  <c:v>111.07</c:v>
                </c:pt>
                <c:pt idx="950">
                  <c:v>108.72</c:v>
                </c:pt>
                <c:pt idx="951">
                  <c:v>109.01</c:v>
                </c:pt>
                <c:pt idx="952">
                  <c:v>102.23</c:v>
                </c:pt>
                <c:pt idx="953">
                  <c:v>106.43</c:v>
                </c:pt>
                <c:pt idx="954">
                  <c:v>106.09</c:v>
                </c:pt>
                <c:pt idx="955">
                  <c:v>108.61</c:v>
                </c:pt>
                <c:pt idx="956">
                  <c:v>106.87</c:v>
                </c:pt>
                <c:pt idx="957">
                  <c:v>102.97</c:v>
                </c:pt>
                <c:pt idx="958">
                  <c:v>102.84</c:v>
                </c:pt>
                <c:pt idx="959">
                  <c:v>104.07</c:v>
                </c:pt>
                <c:pt idx="960">
                  <c:v>103.84</c:v>
                </c:pt>
                <c:pt idx="961">
                  <c:v>104.1</c:v>
                </c:pt>
                <c:pt idx="962">
                  <c:v>99.79</c:v>
                </c:pt>
                <c:pt idx="963">
                  <c:v>103.83</c:v>
                </c:pt>
                <c:pt idx="964">
                  <c:v>104.34</c:v>
                </c:pt>
                <c:pt idx="965">
                  <c:v>107.01</c:v>
                </c:pt>
                <c:pt idx="966">
                  <c:v>105.57</c:v>
                </c:pt>
                <c:pt idx="967">
                  <c:v>102.42</c:v>
                </c:pt>
                <c:pt idx="968">
                  <c:v>97.9</c:v>
                </c:pt>
                <c:pt idx="969">
                  <c:v>100.18</c:v>
                </c:pt>
                <c:pt idx="970">
                  <c:v>98.39</c:v>
                </c:pt>
                <c:pt idx="971">
                  <c:v>97.46</c:v>
                </c:pt>
                <c:pt idx="972">
                  <c:v>97.95</c:v>
                </c:pt>
                <c:pt idx="973">
                  <c:v>96.75</c:v>
                </c:pt>
                <c:pt idx="974">
                  <c:v>99.41</c:v>
                </c:pt>
                <c:pt idx="975">
                  <c:v>100.49</c:v>
                </c:pt>
                <c:pt idx="976">
                  <c:v>97.94</c:v>
                </c:pt>
                <c:pt idx="977">
                  <c:v>96.24</c:v>
                </c:pt>
                <c:pt idx="978">
                  <c:v>92.47</c:v>
                </c:pt>
                <c:pt idx="979">
                  <c:v>94.32</c:v>
                </c:pt>
                <c:pt idx="980">
                  <c:v>95.81</c:v>
                </c:pt>
                <c:pt idx="981">
                  <c:v>98.55</c:v>
                </c:pt>
                <c:pt idx="982">
                  <c:v>99.8</c:v>
                </c:pt>
                <c:pt idx="983">
                  <c:v>97.87</c:v>
                </c:pt>
                <c:pt idx="984">
                  <c:v>94.98</c:v>
                </c:pt>
                <c:pt idx="985">
                  <c:v>95.25</c:v>
                </c:pt>
                <c:pt idx="986">
                  <c:v>96.26</c:v>
                </c:pt>
                <c:pt idx="987">
                  <c:v>95.13</c:v>
                </c:pt>
                <c:pt idx="988">
                  <c:v>93.12</c:v>
                </c:pt>
                <c:pt idx="989">
                  <c:v>98.52</c:v>
                </c:pt>
                <c:pt idx="990">
                  <c:v>96.66</c:v>
                </c:pt>
                <c:pt idx="991">
                  <c:v>94.01</c:v>
                </c:pt>
                <c:pt idx="992">
                  <c:v>101.25</c:v>
                </c:pt>
                <c:pt idx="993">
                  <c:v>105.13</c:v>
                </c:pt>
                <c:pt idx="994">
                  <c:v>109.38</c:v>
                </c:pt>
                <c:pt idx="995">
                  <c:v>111.54</c:v>
                </c:pt>
                <c:pt idx="996">
                  <c:v>109.83</c:v>
                </c:pt>
                <c:pt idx="997">
                  <c:v>109.06</c:v>
                </c:pt>
                <c:pt idx="998">
                  <c:v>113.36</c:v>
                </c:pt>
                <c:pt idx="999">
                  <c:v>109.59</c:v>
                </c:pt>
                <c:pt idx="1000">
                  <c:v>111.75</c:v>
                </c:pt>
                <c:pt idx="1001">
                  <c:v>112.19</c:v>
                </c:pt>
                <c:pt idx="1002">
                  <c:v>108.48</c:v>
                </c:pt>
                <c:pt idx="1003">
                  <c:v>104.38</c:v>
                </c:pt>
                <c:pt idx="1004">
                  <c:v>102.16</c:v>
                </c:pt>
                <c:pt idx="1005">
                  <c:v>105.93</c:v>
                </c:pt>
                <c:pt idx="1006">
                  <c:v>108.61</c:v>
                </c:pt>
                <c:pt idx="1007">
                  <c:v>104.83</c:v>
                </c:pt>
                <c:pt idx="1008">
                  <c:v>104.64</c:v>
                </c:pt>
                <c:pt idx="1009">
                  <c:v>108.12</c:v>
                </c:pt>
                <c:pt idx="1010">
                  <c:v>102.52</c:v>
                </c:pt>
                <c:pt idx="1011">
                  <c:v>104.81</c:v>
                </c:pt>
                <c:pt idx="1012">
                  <c:v>101.16</c:v>
                </c:pt>
                <c:pt idx="1013">
                  <c:v>100.88</c:v>
                </c:pt>
                <c:pt idx="1014">
                  <c:v>105.25</c:v>
                </c:pt>
                <c:pt idx="1015">
                  <c:v>102.76</c:v>
                </c:pt>
                <c:pt idx="1016">
                  <c:v>107.12</c:v>
                </c:pt>
                <c:pt idx="1017">
                  <c:v>108.84</c:v>
                </c:pt>
                <c:pt idx="1018">
                  <c:v>119.34</c:v>
                </c:pt>
                <c:pt idx="1019">
                  <c:v>120.07</c:v>
                </c:pt>
                <c:pt idx="1020">
                  <c:v>119.56</c:v>
                </c:pt>
                <c:pt idx="1021">
                  <c:v>113.78</c:v>
                </c:pt>
                <c:pt idx="1022">
                  <c:v>117.08</c:v>
                </c:pt>
                <c:pt idx="1023">
                  <c:v>110.27</c:v>
                </c:pt>
                <c:pt idx="1024">
                  <c:v>109.34</c:v>
                </c:pt>
                <c:pt idx="1025">
                  <c:v>114.61</c:v>
                </c:pt>
                <c:pt idx="1026">
                  <c:v>111.69</c:v>
                </c:pt>
                <c:pt idx="1027">
                  <c:v>113.59</c:v>
                </c:pt>
                <c:pt idx="1028">
                  <c:v>115.77</c:v>
                </c:pt>
                <c:pt idx="1029">
                  <c:v>117.34</c:v>
                </c:pt>
                <c:pt idx="1030">
                  <c:v>115.56</c:v>
                </c:pt>
                <c:pt idx="1031">
                  <c:v>113.38</c:v>
                </c:pt>
                <c:pt idx="1032">
                  <c:v>116.11</c:v>
                </c:pt>
                <c:pt idx="1033">
                  <c:v>114.1</c:v>
                </c:pt>
                <c:pt idx="1034">
                  <c:v>114.88</c:v>
                </c:pt>
                <c:pt idx="1035">
                  <c:v>114.43</c:v>
                </c:pt>
                <c:pt idx="1036">
                  <c:v>114.31</c:v>
                </c:pt>
                <c:pt idx="1037">
                  <c:v>115.08</c:v>
                </c:pt>
                <c:pt idx="1038">
                  <c:v>117.94</c:v>
                </c:pt>
                <c:pt idx="1039">
                  <c:v>123.49</c:v>
                </c:pt>
                <c:pt idx="1040">
                  <c:v>121.51</c:v>
                </c:pt>
                <c:pt idx="1041">
                  <c:v>124.1</c:v>
                </c:pt>
                <c:pt idx="1042">
                  <c:v>127.43</c:v>
                </c:pt>
                <c:pt idx="1043">
                  <c:v>131.88999999999999</c:v>
                </c:pt>
                <c:pt idx="1044">
                  <c:v>128.86000000000001</c:v>
                </c:pt>
                <c:pt idx="1045">
                  <c:v>130.88</c:v>
                </c:pt>
                <c:pt idx="1046">
                  <c:v>130.69999999999999</c:v>
                </c:pt>
                <c:pt idx="1047">
                  <c:v>125.66</c:v>
                </c:pt>
                <c:pt idx="1048">
                  <c:v>130.03</c:v>
                </c:pt>
                <c:pt idx="1049">
                  <c:v>128.93</c:v>
                </c:pt>
                <c:pt idx="1050">
                  <c:v>130.87</c:v>
                </c:pt>
                <c:pt idx="1051">
                  <c:v>128.81</c:v>
                </c:pt>
                <c:pt idx="1052">
                  <c:v>127.17</c:v>
                </c:pt>
                <c:pt idx="1053">
                  <c:v>121.46</c:v>
                </c:pt>
                <c:pt idx="1054">
                  <c:v>118.61</c:v>
                </c:pt>
                <c:pt idx="1055">
                  <c:v>123.63</c:v>
                </c:pt>
                <c:pt idx="1056">
                  <c:v>125.5</c:v>
                </c:pt>
                <c:pt idx="1057">
                  <c:v>129.36000000000001</c:v>
                </c:pt>
                <c:pt idx="1058">
                  <c:v>129.13999999999999</c:v>
                </c:pt>
                <c:pt idx="1059">
                  <c:v>123.68</c:v>
                </c:pt>
                <c:pt idx="1060">
                  <c:v>129.63</c:v>
                </c:pt>
                <c:pt idx="1061">
                  <c:v>131.75</c:v>
                </c:pt>
                <c:pt idx="1062">
                  <c:v>137.12</c:v>
                </c:pt>
                <c:pt idx="1063">
                  <c:v>132.61000000000001</c:v>
                </c:pt>
                <c:pt idx="1064">
                  <c:v>136.78</c:v>
                </c:pt>
                <c:pt idx="1065">
                  <c:v>137.76</c:v>
                </c:pt>
                <c:pt idx="1066">
                  <c:v>136.9</c:v>
                </c:pt>
                <c:pt idx="1067">
                  <c:v>130.15</c:v>
                </c:pt>
                <c:pt idx="1068">
                  <c:v>130.97999999999999</c:v>
                </c:pt>
                <c:pt idx="1069">
                  <c:v>133.19999999999999</c:v>
                </c:pt>
                <c:pt idx="1070">
                  <c:v>133.04</c:v>
                </c:pt>
                <c:pt idx="1071">
                  <c:v>136.80000000000001</c:v>
                </c:pt>
                <c:pt idx="1072">
                  <c:v>135.08000000000001</c:v>
                </c:pt>
                <c:pt idx="1073">
                  <c:v>129.31</c:v>
                </c:pt>
                <c:pt idx="1074">
                  <c:v>127.24</c:v>
                </c:pt>
                <c:pt idx="1075">
                  <c:v>133.74</c:v>
                </c:pt>
                <c:pt idx="1076">
                  <c:v>136.72</c:v>
                </c:pt>
                <c:pt idx="1077">
                  <c:v>131.56</c:v>
                </c:pt>
                <c:pt idx="1078">
                  <c:v>128.5</c:v>
                </c:pt>
                <c:pt idx="1079">
                  <c:v>131.44999999999999</c:v>
                </c:pt>
                <c:pt idx="1080">
                  <c:v>128.72</c:v>
                </c:pt>
                <c:pt idx="1081">
                  <c:v>143.55000000000001</c:v>
                </c:pt>
                <c:pt idx="1082">
                  <c:v>138.99</c:v>
                </c:pt>
                <c:pt idx="1083">
                  <c:v>137.28</c:v>
                </c:pt>
                <c:pt idx="1084">
                  <c:v>129.46</c:v>
                </c:pt>
                <c:pt idx="1085">
                  <c:v>127.72</c:v>
                </c:pt>
                <c:pt idx="1086">
                  <c:v>133.63999999999999</c:v>
                </c:pt>
                <c:pt idx="1087">
                  <c:v>133.44999999999999</c:v>
                </c:pt>
                <c:pt idx="1088">
                  <c:v>137.65</c:v>
                </c:pt>
                <c:pt idx="1089">
                  <c:v>134.31</c:v>
                </c:pt>
                <c:pt idx="1090">
                  <c:v>137.15</c:v>
                </c:pt>
                <c:pt idx="1091">
                  <c:v>141.69</c:v>
                </c:pt>
                <c:pt idx="1092">
                  <c:v>146.99</c:v>
                </c:pt>
                <c:pt idx="1093">
                  <c:v>148.72999999999999</c:v>
                </c:pt>
                <c:pt idx="1094">
                  <c:v>146.75</c:v>
                </c:pt>
                <c:pt idx="1095">
                  <c:v>152.84</c:v>
                </c:pt>
                <c:pt idx="1096">
                  <c:v>151.72</c:v>
                </c:pt>
                <c:pt idx="1097">
                  <c:v>151.56</c:v>
                </c:pt>
                <c:pt idx="1098">
                  <c:v>154.69</c:v>
                </c:pt>
                <c:pt idx="1099">
                  <c:v>158.36000000000001</c:v>
                </c:pt>
                <c:pt idx="1100">
                  <c:v>157.24</c:v>
                </c:pt>
                <c:pt idx="1101">
                  <c:v>160.44999999999999</c:v>
                </c:pt>
                <c:pt idx="1102">
                  <c:v>159.43</c:v>
                </c:pt>
                <c:pt idx="1103">
                  <c:v>156.38999999999999</c:v>
                </c:pt>
                <c:pt idx="1104">
                  <c:v>156.06</c:v>
                </c:pt>
                <c:pt idx="1105">
                  <c:v>156.91</c:v>
                </c:pt>
                <c:pt idx="1106">
                  <c:v>156.44</c:v>
                </c:pt>
                <c:pt idx="1107">
                  <c:v>155.41999999999999</c:v>
                </c:pt>
                <c:pt idx="1108">
                  <c:v>152.07</c:v>
                </c:pt>
                <c:pt idx="1109">
                  <c:v>151.41</c:v>
                </c:pt>
                <c:pt idx="1110">
                  <c:v>150.49</c:v>
                </c:pt>
                <c:pt idx="1111">
                  <c:v>146.16</c:v>
                </c:pt>
                <c:pt idx="1112">
                  <c:v>147.68</c:v>
                </c:pt>
                <c:pt idx="1113">
                  <c:v>147.69999999999999</c:v>
                </c:pt>
                <c:pt idx="1114">
                  <c:v>152.88</c:v>
                </c:pt>
                <c:pt idx="1115">
                  <c:v>152.47</c:v>
                </c:pt>
                <c:pt idx="1116">
                  <c:v>154.99</c:v>
                </c:pt>
                <c:pt idx="1117">
                  <c:v>159.22999999999999</c:v>
                </c:pt>
                <c:pt idx="1118">
                  <c:v>159.56</c:v>
                </c:pt>
                <c:pt idx="1119">
                  <c:v>161.37</c:v>
                </c:pt>
                <c:pt idx="1120">
                  <c:v>161.51</c:v>
                </c:pt>
                <c:pt idx="1121">
                  <c:v>152.72999999999999</c:v>
                </c:pt>
                <c:pt idx="1122">
                  <c:v>149.91</c:v>
                </c:pt>
                <c:pt idx="1123">
                  <c:v>149.18</c:v>
                </c:pt>
                <c:pt idx="1124">
                  <c:v>146.1</c:v>
                </c:pt>
                <c:pt idx="1125">
                  <c:v>146.22999999999999</c:v>
                </c:pt>
                <c:pt idx="1126">
                  <c:v>150.84</c:v>
                </c:pt>
                <c:pt idx="1127">
                  <c:v>148.11000000000001</c:v>
                </c:pt>
                <c:pt idx="1128">
                  <c:v>152.62</c:v>
                </c:pt>
                <c:pt idx="1129">
                  <c:v>152.59</c:v>
                </c:pt>
                <c:pt idx="1130">
                  <c:v>151.25</c:v>
                </c:pt>
                <c:pt idx="1131">
                  <c:v>155.19</c:v>
                </c:pt>
                <c:pt idx="1132">
                  <c:v>156.34</c:v>
                </c:pt>
                <c:pt idx="1133">
                  <c:v>157.94</c:v>
                </c:pt>
                <c:pt idx="1134">
                  <c:v>159.31</c:v>
                </c:pt>
                <c:pt idx="1135">
                  <c:v>158.91</c:v>
                </c:pt>
                <c:pt idx="1136">
                  <c:v>160.5</c:v>
                </c:pt>
                <c:pt idx="1137">
                  <c:v>157.68</c:v>
                </c:pt>
                <c:pt idx="1138">
                  <c:v>154.28</c:v>
                </c:pt>
                <c:pt idx="1139">
                  <c:v>157.63999999999999</c:v>
                </c:pt>
                <c:pt idx="1140">
                  <c:v>159.30000000000001</c:v>
                </c:pt>
                <c:pt idx="1141">
                  <c:v>156.07</c:v>
                </c:pt>
                <c:pt idx="1142">
                  <c:v>154.46</c:v>
                </c:pt>
                <c:pt idx="1143">
                  <c:v>178.12</c:v>
                </c:pt>
                <c:pt idx="1144">
                  <c:v>172.09</c:v>
                </c:pt>
                <c:pt idx="1145">
                  <c:v>172.07</c:v>
                </c:pt>
                <c:pt idx="1146">
                  <c:v>168.23</c:v>
                </c:pt>
                <c:pt idx="1147">
                  <c:v>168.93</c:v>
                </c:pt>
                <c:pt idx="1148">
                  <c:v>165.27</c:v>
                </c:pt>
                <c:pt idx="1149">
                  <c:v>165.28</c:v>
                </c:pt>
                <c:pt idx="1150">
                  <c:v>167.32</c:v>
                </c:pt>
                <c:pt idx="1151">
                  <c:v>168.01</c:v>
                </c:pt>
                <c:pt idx="1152">
                  <c:v>170.26</c:v>
                </c:pt>
                <c:pt idx="1153">
                  <c:v>169.51</c:v>
                </c:pt>
                <c:pt idx="1154">
                  <c:v>168.76</c:v>
                </c:pt>
                <c:pt idx="1155">
                  <c:v>165.3</c:v>
                </c:pt>
                <c:pt idx="1156">
                  <c:v>165.87</c:v>
                </c:pt>
                <c:pt idx="1157">
                  <c:v>164.61</c:v>
                </c:pt>
                <c:pt idx="1158">
                  <c:v>160.05000000000001</c:v>
                </c:pt>
                <c:pt idx="1159">
                  <c:v>160.26</c:v>
                </c:pt>
                <c:pt idx="1160">
                  <c:v>163.68</c:v>
                </c:pt>
                <c:pt idx="1161">
                  <c:v>165.83</c:v>
                </c:pt>
                <c:pt idx="1162">
                  <c:v>165.33</c:v>
                </c:pt>
                <c:pt idx="1163">
                  <c:v>164.84</c:v>
                </c:pt>
                <c:pt idx="1164">
                  <c:v>166.06</c:v>
                </c:pt>
                <c:pt idx="1165">
                  <c:v>163.99</c:v>
                </c:pt>
                <c:pt idx="1166">
                  <c:v>169.26</c:v>
                </c:pt>
                <c:pt idx="1167">
                  <c:v>167.19</c:v>
                </c:pt>
                <c:pt idx="1168">
                  <c:v>169.91</c:v>
                </c:pt>
                <c:pt idx="1169">
                  <c:v>171.42</c:v>
                </c:pt>
                <c:pt idx="1170">
                  <c:v>175.68</c:v>
                </c:pt>
                <c:pt idx="1171">
                  <c:v>174.05</c:v>
                </c:pt>
                <c:pt idx="1172">
                  <c:v>174.12</c:v>
                </c:pt>
                <c:pt idx="1173">
                  <c:v>173.33</c:v>
                </c:pt>
                <c:pt idx="1174">
                  <c:v>171.17</c:v>
                </c:pt>
                <c:pt idx="1175">
                  <c:v>170.08</c:v>
                </c:pt>
                <c:pt idx="1176">
                  <c:v>175.3</c:v>
                </c:pt>
                <c:pt idx="1177">
                  <c:v>180.31</c:v>
                </c:pt>
                <c:pt idx="1178">
                  <c:v>179.91</c:v>
                </c:pt>
                <c:pt idx="1179">
                  <c:v>182.13</c:v>
                </c:pt>
                <c:pt idx="1180">
                  <c:v>182.37</c:v>
                </c:pt>
                <c:pt idx="1181">
                  <c:v>179.3</c:v>
                </c:pt>
                <c:pt idx="1182">
                  <c:v>178.96</c:v>
                </c:pt>
                <c:pt idx="1183">
                  <c:v>178.76</c:v>
                </c:pt>
                <c:pt idx="1184">
                  <c:v>182.68</c:v>
                </c:pt>
                <c:pt idx="1185">
                  <c:v>185.36</c:v>
                </c:pt>
                <c:pt idx="1186">
                  <c:v>185.9</c:v>
                </c:pt>
                <c:pt idx="1187">
                  <c:v>186.06</c:v>
                </c:pt>
                <c:pt idx="1188">
                  <c:v>188.03</c:v>
                </c:pt>
                <c:pt idx="1189">
                  <c:v>190.83</c:v>
                </c:pt>
                <c:pt idx="1190">
                  <c:v>190.73</c:v>
                </c:pt>
                <c:pt idx="1191">
                  <c:v>185.87</c:v>
                </c:pt>
                <c:pt idx="1192">
                  <c:v>185.62</c:v>
                </c:pt>
                <c:pt idx="1193">
                  <c:v>184.8</c:v>
                </c:pt>
                <c:pt idx="1194">
                  <c:v>184.23</c:v>
                </c:pt>
                <c:pt idx="1195">
                  <c:v>181.56</c:v>
                </c:pt>
                <c:pt idx="1196">
                  <c:v>180.13</c:v>
                </c:pt>
                <c:pt idx="1197">
                  <c:v>179.82</c:v>
                </c:pt>
                <c:pt idx="1198">
                  <c:v>183.46</c:v>
                </c:pt>
                <c:pt idx="1199">
                  <c:v>187.57</c:v>
                </c:pt>
                <c:pt idx="1200">
                  <c:v>188.36</c:v>
                </c:pt>
                <c:pt idx="1201">
                  <c:v>188.13</c:v>
                </c:pt>
                <c:pt idx="1202">
                  <c:v>189.73</c:v>
                </c:pt>
                <c:pt idx="1203">
                  <c:v>190.81</c:v>
                </c:pt>
                <c:pt idx="1204">
                  <c:v>193.62</c:v>
                </c:pt>
                <c:pt idx="1205">
                  <c:v>195.02</c:v>
                </c:pt>
                <c:pt idx="1206">
                  <c:v>194.76</c:v>
                </c:pt>
                <c:pt idx="1207">
                  <c:v>193.88</c:v>
                </c:pt>
                <c:pt idx="1208">
                  <c:v>195.18</c:v>
                </c:pt>
                <c:pt idx="1209">
                  <c:v>192.36</c:v>
                </c:pt>
                <c:pt idx="1210">
                  <c:v>189.59</c:v>
                </c:pt>
                <c:pt idx="1211">
                  <c:v>194.04</c:v>
                </c:pt>
                <c:pt idx="1212">
                  <c:v>190.34</c:v>
                </c:pt>
                <c:pt idx="1213">
                  <c:v>187.15</c:v>
                </c:pt>
                <c:pt idx="1214">
                  <c:v>192</c:v>
                </c:pt>
                <c:pt idx="1215">
                  <c:v>193.09</c:v>
                </c:pt>
                <c:pt idx="1216">
                  <c:v>191.41</c:v>
                </c:pt>
                <c:pt idx="1217">
                  <c:v>194.07</c:v>
                </c:pt>
                <c:pt idx="1218">
                  <c:v>189.7</c:v>
                </c:pt>
                <c:pt idx="1219">
                  <c:v>187.13</c:v>
                </c:pt>
                <c:pt idx="1220">
                  <c:v>187.68</c:v>
                </c:pt>
                <c:pt idx="1221">
                  <c:v>190.95</c:v>
                </c:pt>
                <c:pt idx="1222">
                  <c:v>192.42</c:v>
                </c:pt>
                <c:pt idx="1223">
                  <c:v>192.79</c:v>
                </c:pt>
                <c:pt idx="1224">
                  <c:v>193.62</c:v>
                </c:pt>
                <c:pt idx="1225">
                  <c:v>192.94</c:v>
                </c:pt>
                <c:pt idx="1226">
                  <c:v>189.44</c:v>
                </c:pt>
                <c:pt idx="1227">
                  <c:v>192</c:v>
                </c:pt>
                <c:pt idx="1228">
                  <c:v>194.3</c:v>
                </c:pt>
                <c:pt idx="1229">
                  <c:v>195.67</c:v>
                </c:pt>
                <c:pt idx="1230">
                  <c:v>193.18</c:v>
                </c:pt>
                <c:pt idx="1231">
                  <c:v>195.65</c:v>
                </c:pt>
                <c:pt idx="1232">
                  <c:v>195.66</c:v>
                </c:pt>
                <c:pt idx="1233">
                  <c:v>187.33</c:v>
                </c:pt>
                <c:pt idx="1234">
                  <c:v>183.35</c:v>
                </c:pt>
                <c:pt idx="1235">
                  <c:v>182.89</c:v>
                </c:pt>
                <c:pt idx="1236">
                  <c:v>177.88</c:v>
                </c:pt>
                <c:pt idx="1237">
                  <c:v>176.26</c:v>
                </c:pt>
                <c:pt idx="1238">
                  <c:v>176.24</c:v>
                </c:pt>
                <c:pt idx="1239">
                  <c:v>174.19</c:v>
                </c:pt>
                <c:pt idx="1240">
                  <c:v>181.33</c:v>
                </c:pt>
                <c:pt idx="1241">
                  <c:v>181.71</c:v>
                </c:pt>
                <c:pt idx="1242">
                  <c:v>181.91</c:v>
                </c:pt>
                <c:pt idx="1243">
                  <c:v>184.94</c:v>
                </c:pt>
                <c:pt idx="1244">
                  <c:v>183.31</c:v>
                </c:pt>
                <c:pt idx="1245">
                  <c:v>182.91</c:v>
                </c:pt>
                <c:pt idx="1246">
                  <c:v>181.55</c:v>
                </c:pt>
                <c:pt idx="1247">
                  <c:v>184.27</c:v>
                </c:pt>
                <c:pt idx="1248">
                  <c:v>183.86</c:v>
                </c:pt>
                <c:pt idx="1249">
                  <c:v>184.76</c:v>
                </c:pt>
                <c:pt idx="1250">
                  <c:v>180.97</c:v>
                </c:pt>
                <c:pt idx="1251">
                  <c:v>185.31</c:v>
                </c:pt>
                <c:pt idx="1252">
                  <c:v>182.98</c:v>
                </c:pt>
                <c:pt idx="1253">
                  <c:v>182.72</c:v>
                </c:pt>
                <c:pt idx="1254">
                  <c:v>185.14</c:v>
                </c:pt>
                <c:pt idx="1255">
                  <c:v>179.47</c:v>
                </c:pt>
                <c:pt idx="1256">
                  <c:v>180.62</c:v>
                </c:pt>
                <c:pt idx="1257">
                  <c:v>178.63</c:v>
                </c:pt>
                <c:pt idx="1258">
                  <c:v>176.56</c:v>
                </c:pt>
                <c:pt idx="1259">
                  <c:v>177.72</c:v>
                </c:pt>
                <c:pt idx="1260">
                  <c:v>174.15</c:v>
                </c:pt>
                <c:pt idx="1261">
                  <c:v>170.07</c:v>
                </c:pt>
                <c:pt idx="1262">
                  <c:v>171.08</c:v>
                </c:pt>
                <c:pt idx="1263">
                  <c:v>171.01</c:v>
                </c:pt>
                <c:pt idx="1264">
                  <c:v>166.85</c:v>
                </c:pt>
                <c:pt idx="1265">
                  <c:v>165.35</c:v>
                </c:pt>
                <c:pt idx="1266">
                  <c:v>172.01</c:v>
                </c:pt>
                <c:pt idx="1267">
                  <c:v>171.47</c:v>
                </c:pt>
                <c:pt idx="1268">
                  <c:v>184.18</c:v>
                </c:pt>
                <c:pt idx="1269">
                  <c:v>184.69</c:v>
                </c:pt>
                <c:pt idx="1270">
                  <c:v>182.56</c:v>
                </c:pt>
                <c:pt idx="1271">
                  <c:v>182.41</c:v>
                </c:pt>
                <c:pt idx="1272">
                  <c:v>184.54</c:v>
                </c:pt>
                <c:pt idx="1273">
                  <c:v>188.17</c:v>
                </c:pt>
                <c:pt idx="1274">
                  <c:v>199.54</c:v>
                </c:pt>
                <c:pt idx="1275">
                  <c:v>197.05</c:v>
                </c:pt>
                <c:pt idx="1276">
                  <c:v>198.38</c:v>
                </c:pt>
                <c:pt idx="1277">
                  <c:v>198.97</c:v>
                </c:pt>
                <c:pt idx="1278">
                  <c:v>193.92</c:v>
                </c:pt>
                <c:pt idx="1279">
                  <c:v>187.05</c:v>
                </c:pt>
                <c:pt idx="1280">
                  <c:v>189.21</c:v>
                </c:pt>
                <c:pt idx="1281">
                  <c:v>183.95</c:v>
                </c:pt>
                <c:pt idx="1282">
                  <c:v>188.44</c:v>
                </c:pt>
                <c:pt idx="1283">
                  <c:v>192.27</c:v>
                </c:pt>
                <c:pt idx="1284">
                  <c:v>192.84</c:v>
                </c:pt>
                <c:pt idx="1285">
                  <c:v>189.85</c:v>
                </c:pt>
                <c:pt idx="1286">
                  <c:v>192.42</c:v>
                </c:pt>
                <c:pt idx="1287">
                  <c:v>192.56</c:v>
                </c:pt>
                <c:pt idx="1288">
                  <c:v>191.86</c:v>
                </c:pt>
                <c:pt idx="1289">
                  <c:v>193.52</c:v>
                </c:pt>
                <c:pt idx="1290">
                  <c:v>193.69</c:v>
                </c:pt>
                <c:pt idx="1291">
                  <c:v>194.98</c:v>
                </c:pt>
                <c:pt idx="1292">
                  <c:v>198.32</c:v>
                </c:pt>
                <c:pt idx="1293">
                  <c:v>192.9</c:v>
                </c:pt>
                <c:pt idx="1294">
                  <c:v>182.7</c:v>
                </c:pt>
                <c:pt idx="1295">
                  <c:v>177.63</c:v>
                </c:pt>
                <c:pt idx="1296">
                  <c:v>178.89</c:v>
                </c:pt>
                <c:pt idx="1297">
                  <c:v>182.5</c:v>
                </c:pt>
                <c:pt idx="1298">
                  <c:v>172.26</c:v>
                </c:pt>
                <c:pt idx="1299">
                  <c:v>171.79</c:v>
                </c:pt>
                <c:pt idx="1300">
                  <c:v>176.37</c:v>
                </c:pt>
                <c:pt idx="1301">
                  <c:v>183.28</c:v>
                </c:pt>
                <c:pt idx="1302">
                  <c:v>179.85</c:v>
                </c:pt>
                <c:pt idx="1303">
                  <c:v>176.08</c:v>
                </c:pt>
                <c:pt idx="1304">
                  <c:v>184.54</c:v>
                </c:pt>
                <c:pt idx="1305">
                  <c:v>180.54</c:v>
                </c:pt>
                <c:pt idx="1306">
                  <c:v>178.29</c:v>
                </c:pt>
                <c:pt idx="1307">
                  <c:v>172.59</c:v>
                </c:pt>
                <c:pt idx="1308">
                  <c:v>174.95</c:v>
                </c:pt>
                <c:pt idx="1309">
                  <c:v>165.37</c:v>
                </c:pt>
                <c:pt idx="1310">
                  <c:v>170.9</c:v>
                </c:pt>
                <c:pt idx="1311">
                  <c:v>162.9</c:v>
                </c:pt>
                <c:pt idx="1312">
                  <c:v>171.42</c:v>
                </c:pt>
                <c:pt idx="1313">
                  <c:v>165.34</c:v>
                </c:pt>
                <c:pt idx="1314">
                  <c:v>171.66</c:v>
                </c:pt>
                <c:pt idx="1315">
                  <c:v>177.45</c:v>
                </c:pt>
                <c:pt idx="1316">
                  <c:v>182.31</c:v>
                </c:pt>
                <c:pt idx="1317">
                  <c:v>174.73</c:v>
                </c:pt>
                <c:pt idx="1318">
                  <c:v>168.95</c:v>
                </c:pt>
                <c:pt idx="1319">
                  <c:v>179.15</c:v>
                </c:pt>
                <c:pt idx="1320">
                  <c:v>172.22</c:v>
                </c:pt>
                <c:pt idx="1321">
                  <c:v>172.28</c:v>
                </c:pt>
                <c:pt idx="1322">
                  <c:v>179.39</c:v>
                </c:pt>
                <c:pt idx="1323">
                  <c:v>171.13</c:v>
                </c:pt>
                <c:pt idx="1324">
                  <c:v>174.61</c:v>
                </c:pt>
                <c:pt idx="1325">
                  <c:v>177.03</c:v>
                </c:pt>
                <c:pt idx="1326">
                  <c:v>176</c:v>
                </c:pt>
                <c:pt idx="1327">
                  <c:v>174.65</c:v>
                </c:pt>
                <c:pt idx="1328">
                  <c:v>168.17</c:v>
                </c:pt>
                <c:pt idx="1329">
                  <c:v>168.85</c:v>
                </c:pt>
                <c:pt idx="1330">
                  <c:v>170.76</c:v>
                </c:pt>
                <c:pt idx="1331">
                  <c:v>167.14</c:v>
                </c:pt>
                <c:pt idx="1332">
                  <c:v>167.69</c:v>
                </c:pt>
                <c:pt idx="1333">
                  <c:v>175.95</c:v>
                </c:pt>
                <c:pt idx="1334">
                  <c:v>179.33</c:v>
                </c:pt>
                <c:pt idx="1335">
                  <c:v>183.3</c:v>
                </c:pt>
                <c:pt idx="1336">
                  <c:v>170.88</c:v>
                </c:pt>
                <c:pt idx="1337">
                  <c:v>169.8</c:v>
                </c:pt>
                <c:pt idx="1338">
                  <c:v>165.64</c:v>
                </c:pt>
                <c:pt idx="1339">
                  <c:v>174.94</c:v>
                </c:pt>
                <c:pt idx="1340">
                  <c:v>180.92</c:v>
                </c:pt>
                <c:pt idx="1341">
                  <c:v>180.66</c:v>
                </c:pt>
                <c:pt idx="1342">
                  <c:v>184.12</c:v>
                </c:pt>
                <c:pt idx="1343">
                  <c:v>186.03</c:v>
                </c:pt>
                <c:pt idx="1344">
                  <c:v>185.67</c:v>
                </c:pt>
                <c:pt idx="1345">
                  <c:v>177.29</c:v>
                </c:pt>
                <c:pt idx="1346">
                  <c:v>183.94</c:v>
                </c:pt>
                <c:pt idx="1347">
                  <c:v>180.07</c:v>
                </c:pt>
                <c:pt idx="1348">
                  <c:v>182.32</c:v>
                </c:pt>
                <c:pt idx="1349">
                  <c:v>182.76</c:v>
                </c:pt>
                <c:pt idx="1350">
                  <c:v>179.4</c:v>
                </c:pt>
                <c:pt idx="1351">
                  <c:v>178.57</c:v>
                </c:pt>
                <c:pt idx="1352">
                  <c:v>172</c:v>
                </c:pt>
                <c:pt idx="1353">
                  <c:v>169.25</c:v>
                </c:pt>
                <c:pt idx="1354">
                  <c:v>164.59</c:v>
                </c:pt>
                <c:pt idx="1355">
                  <c:v>166.27</c:v>
                </c:pt>
                <c:pt idx="1356">
                  <c:v>167.37</c:v>
                </c:pt>
                <c:pt idx="1357">
                  <c:v>163.77000000000001</c:v>
                </c:pt>
                <c:pt idx="1358">
                  <c:v>166.44</c:v>
                </c:pt>
                <c:pt idx="1359">
                  <c:v>167.11</c:v>
                </c:pt>
                <c:pt idx="1360">
                  <c:v>165.1</c:v>
                </c:pt>
                <c:pt idx="1361">
                  <c:v>163.26</c:v>
                </c:pt>
                <c:pt idx="1362">
                  <c:v>161.11000000000001</c:v>
                </c:pt>
                <c:pt idx="1363">
                  <c:v>162.66</c:v>
                </c:pt>
                <c:pt idx="1364">
                  <c:v>159.6</c:v>
                </c:pt>
                <c:pt idx="1365">
                  <c:v>159</c:v>
                </c:pt>
                <c:pt idx="1366">
                  <c:v>158.47999999999999</c:v>
                </c:pt>
                <c:pt idx="1367">
                  <c:v>154.51</c:v>
                </c:pt>
                <c:pt idx="1368">
                  <c:v>152.63999999999999</c:v>
                </c:pt>
                <c:pt idx="1369">
                  <c:v>158.33000000000001</c:v>
                </c:pt>
                <c:pt idx="1370">
                  <c:v>160.38</c:v>
                </c:pt>
                <c:pt idx="1371">
                  <c:v>169.96</c:v>
                </c:pt>
                <c:pt idx="1372">
                  <c:v>166.94</c:v>
                </c:pt>
                <c:pt idx="1373">
                  <c:v>165.35</c:v>
                </c:pt>
                <c:pt idx="1374">
                  <c:v>159.13</c:v>
                </c:pt>
                <c:pt idx="1375">
                  <c:v>159.55000000000001</c:v>
                </c:pt>
                <c:pt idx="1376">
                  <c:v>159.78</c:v>
                </c:pt>
                <c:pt idx="1377">
                  <c:v>156.68</c:v>
                </c:pt>
                <c:pt idx="1378">
                  <c:v>150.11000000000001</c:v>
                </c:pt>
                <c:pt idx="1379">
                  <c:v>148.24</c:v>
                </c:pt>
                <c:pt idx="1380">
                  <c:v>151.75</c:v>
                </c:pt>
                <c:pt idx="1381">
                  <c:v>149.19999999999999</c:v>
                </c:pt>
                <c:pt idx="1382">
                  <c:v>147.38999999999999</c:v>
                </c:pt>
                <c:pt idx="1383">
                  <c:v>146.86000000000001</c:v>
                </c:pt>
                <c:pt idx="1384">
                  <c:v>144.37</c:v>
                </c:pt>
                <c:pt idx="1385">
                  <c:v>148.44</c:v>
                </c:pt>
                <c:pt idx="1386">
                  <c:v>150.38</c:v>
                </c:pt>
                <c:pt idx="1387">
                  <c:v>147.63</c:v>
                </c:pt>
                <c:pt idx="1388">
                  <c:v>146.66999999999999</c:v>
                </c:pt>
                <c:pt idx="1389">
                  <c:v>148.25</c:v>
                </c:pt>
                <c:pt idx="1390">
                  <c:v>140.93</c:v>
                </c:pt>
                <c:pt idx="1391">
                  <c:v>149.47999999999999</c:v>
                </c:pt>
                <c:pt idx="1392">
                  <c:v>147.27000000000001</c:v>
                </c:pt>
                <c:pt idx="1393">
                  <c:v>146.69</c:v>
                </c:pt>
                <c:pt idx="1394">
                  <c:v>133.74</c:v>
                </c:pt>
                <c:pt idx="1395">
                  <c:v>128.46</c:v>
                </c:pt>
                <c:pt idx="1396">
                  <c:v>127.94</c:v>
                </c:pt>
                <c:pt idx="1397">
                  <c:v>127.36</c:v>
                </c:pt>
                <c:pt idx="1398">
                  <c:v>129.71</c:v>
                </c:pt>
                <c:pt idx="1399">
                  <c:v>124.96</c:v>
                </c:pt>
                <c:pt idx="1400">
                  <c:v>131.28</c:v>
                </c:pt>
                <c:pt idx="1401">
                  <c:v>134.44999999999999</c:v>
                </c:pt>
                <c:pt idx="1402">
                  <c:v>135.69999999999999</c:v>
                </c:pt>
                <c:pt idx="1403">
                  <c:v>135</c:v>
                </c:pt>
                <c:pt idx="1404">
                  <c:v>135.26</c:v>
                </c:pt>
                <c:pt idx="1405">
                  <c:v>135.65</c:v>
                </c:pt>
                <c:pt idx="1406">
                  <c:v>134.54</c:v>
                </c:pt>
                <c:pt idx="1407">
                  <c:v>134.76</c:v>
                </c:pt>
                <c:pt idx="1408">
                  <c:v>135.96</c:v>
                </c:pt>
                <c:pt idx="1409">
                  <c:v>135.15</c:v>
                </c:pt>
                <c:pt idx="1410">
                  <c:v>135.16999999999999</c:v>
                </c:pt>
                <c:pt idx="1411">
                  <c:v>137.76</c:v>
                </c:pt>
                <c:pt idx="1412">
                  <c:v>137.87</c:v>
                </c:pt>
                <c:pt idx="1413">
                  <c:v>135.41</c:v>
                </c:pt>
                <c:pt idx="1414">
                  <c:v>134.63999999999999</c:v>
                </c:pt>
                <c:pt idx="1415">
                  <c:v>131.08000000000001</c:v>
                </c:pt>
                <c:pt idx="1416">
                  <c:v>135.30000000000001</c:v>
                </c:pt>
                <c:pt idx="1417">
                  <c:v>130.57</c:v>
                </c:pt>
                <c:pt idx="1418">
                  <c:v>135.09</c:v>
                </c:pt>
                <c:pt idx="1419">
                  <c:v>129.01</c:v>
                </c:pt>
                <c:pt idx="1420">
                  <c:v>130.77000000000001</c:v>
                </c:pt>
                <c:pt idx="1421">
                  <c:v>128.43</c:v>
                </c:pt>
                <c:pt idx="1422">
                  <c:v>125.63</c:v>
                </c:pt>
                <c:pt idx="1423">
                  <c:v>124.99</c:v>
                </c:pt>
                <c:pt idx="1424">
                  <c:v>125.77</c:v>
                </c:pt>
                <c:pt idx="1425">
                  <c:v>131.21</c:v>
                </c:pt>
                <c:pt idx="1426">
                  <c:v>127.55</c:v>
                </c:pt>
                <c:pt idx="1427">
                  <c:v>128.02000000000001</c:v>
                </c:pt>
                <c:pt idx="1428">
                  <c:v>130.30000000000001</c:v>
                </c:pt>
                <c:pt idx="1429">
                  <c:v>128.83000000000001</c:v>
                </c:pt>
                <c:pt idx="1430">
                  <c:v>129.99</c:v>
                </c:pt>
                <c:pt idx="1431">
                  <c:v>122.84</c:v>
                </c:pt>
                <c:pt idx="1432">
                  <c:v>122.96</c:v>
                </c:pt>
                <c:pt idx="1433">
                  <c:v>121.46</c:v>
                </c:pt>
                <c:pt idx="1434">
                  <c:v>122.71</c:v>
                </c:pt>
                <c:pt idx="1435">
                  <c:v>114.11</c:v>
                </c:pt>
                <c:pt idx="1436">
                  <c:v>118.89</c:v>
                </c:pt>
                <c:pt idx="1437">
                  <c:v>121.44</c:v>
                </c:pt>
                <c:pt idx="1438">
                  <c:v>134.66999999999999</c:v>
                </c:pt>
                <c:pt idx="1439">
                  <c:v>131.47999999999999</c:v>
                </c:pt>
                <c:pt idx="1440">
                  <c:v>128.27000000000001</c:v>
                </c:pt>
                <c:pt idx="1441">
                  <c:v>129.30000000000001</c:v>
                </c:pt>
                <c:pt idx="1442">
                  <c:v>127.14</c:v>
                </c:pt>
                <c:pt idx="1443">
                  <c:v>131.51</c:v>
                </c:pt>
                <c:pt idx="1444">
                  <c:v>131.97</c:v>
                </c:pt>
                <c:pt idx="1445">
                  <c:v>131.94</c:v>
                </c:pt>
                <c:pt idx="1446">
                  <c:v>130.66999999999999</c:v>
                </c:pt>
                <c:pt idx="1447">
                  <c:v>130.72</c:v>
                </c:pt>
                <c:pt idx="1448">
                  <c:v>132.46</c:v>
                </c:pt>
                <c:pt idx="1449">
                  <c:v>132.61000000000001</c:v>
                </c:pt>
                <c:pt idx="1450">
                  <c:v>133.81</c:v>
                </c:pt>
                <c:pt idx="1451">
                  <c:v>131.68</c:v>
                </c:pt>
                <c:pt idx="1452">
                  <c:v>132</c:v>
                </c:pt>
                <c:pt idx="1453">
                  <c:v>131.43</c:v>
                </c:pt>
                <c:pt idx="1454">
                  <c:v>127.62</c:v>
                </c:pt>
                <c:pt idx="1455">
                  <c:v>129.47</c:v>
                </c:pt>
                <c:pt idx="1456">
                  <c:v>130.97</c:v>
                </c:pt>
                <c:pt idx="1457">
                  <c:v>135.22999999999999</c:v>
                </c:pt>
                <c:pt idx="1458">
                  <c:v>133.62</c:v>
                </c:pt>
                <c:pt idx="1459">
                  <c:v>131.25</c:v>
                </c:pt>
                <c:pt idx="1460">
                  <c:v>133.32</c:v>
                </c:pt>
                <c:pt idx="1461">
                  <c:v>128.15</c:v>
                </c:pt>
                <c:pt idx="1462">
                  <c:v>128.66999999999999</c:v>
                </c:pt>
                <c:pt idx="1463">
                  <c:v>115.28</c:v>
                </c:pt>
                <c:pt idx="1464">
                  <c:v>113.39</c:v>
                </c:pt>
                <c:pt idx="1465">
                  <c:v>115.15</c:v>
                </c:pt>
                <c:pt idx="1466">
                  <c:v>111.92</c:v>
                </c:pt>
                <c:pt idx="1467">
                  <c:v>118.15</c:v>
                </c:pt>
                <c:pt idx="1468">
                  <c:v>118.43</c:v>
                </c:pt>
                <c:pt idx="1469">
                  <c:v>116.74</c:v>
                </c:pt>
                <c:pt idx="1470">
                  <c:v>116.39</c:v>
                </c:pt>
                <c:pt idx="1471">
                  <c:v>113.98</c:v>
                </c:pt>
                <c:pt idx="1472">
                  <c:v>111.68</c:v>
                </c:pt>
                <c:pt idx="1473">
                  <c:v>112.84</c:v>
                </c:pt>
                <c:pt idx="1474">
                  <c:v>112.62</c:v>
                </c:pt>
                <c:pt idx="1475">
                  <c:v>110.89</c:v>
                </c:pt>
                <c:pt idx="1476">
                  <c:v>112.01</c:v>
                </c:pt>
                <c:pt idx="1477">
                  <c:v>113.11</c:v>
                </c:pt>
                <c:pt idx="1478">
                  <c:v>113.03</c:v>
                </c:pt>
                <c:pt idx="1479">
                  <c:v>113.02</c:v>
                </c:pt>
                <c:pt idx="1480">
                  <c:v>113.63</c:v>
                </c:pt>
                <c:pt idx="1481">
                  <c:v>110.3</c:v>
                </c:pt>
                <c:pt idx="1482">
                  <c:v>108.26</c:v>
                </c:pt>
                <c:pt idx="1483">
                  <c:v>110.53</c:v>
                </c:pt>
                <c:pt idx="1484">
                  <c:v>107.43</c:v>
                </c:pt>
                <c:pt idx="1485">
                  <c:v>107.37</c:v>
                </c:pt>
                <c:pt idx="1486">
                  <c:v>108.97</c:v>
                </c:pt>
                <c:pt idx="1487">
                  <c:v>108.52</c:v>
                </c:pt>
                <c:pt idx="1488">
                  <c:v>111.92</c:v>
                </c:pt>
                <c:pt idx="1489">
                  <c:v>112.25</c:v>
                </c:pt>
                <c:pt idx="1490">
                  <c:v>111.8</c:v>
                </c:pt>
                <c:pt idx="1491">
                  <c:v>111.25</c:v>
                </c:pt>
                <c:pt idx="1492">
                  <c:v>112.64</c:v>
                </c:pt>
                <c:pt idx="1493">
                  <c:v>112.58</c:v>
                </c:pt>
                <c:pt idx="1494">
                  <c:v>109.72</c:v>
                </c:pt>
                <c:pt idx="1495">
                  <c:v>108.9</c:v>
                </c:pt>
                <c:pt idx="1496">
                  <c:v>107.39</c:v>
                </c:pt>
                <c:pt idx="1497">
                  <c:v>114.87</c:v>
                </c:pt>
                <c:pt idx="1498">
                  <c:v>115.53</c:v>
                </c:pt>
                <c:pt idx="1499">
                  <c:v>117.56</c:v>
                </c:pt>
                <c:pt idx="1500">
                  <c:v>115.67</c:v>
                </c:pt>
                <c:pt idx="1501">
                  <c:v>113.4</c:v>
                </c:pt>
                <c:pt idx="1502">
                  <c:v>112.99</c:v>
                </c:pt>
                <c:pt idx="1503">
                  <c:v>109.68</c:v>
                </c:pt>
                <c:pt idx="1504">
                  <c:v>104.58</c:v>
                </c:pt>
                <c:pt idx="1505">
                  <c:v>104.74</c:v>
                </c:pt>
                <c:pt idx="1506">
                  <c:v>100.77</c:v>
                </c:pt>
                <c:pt idx="1507">
                  <c:v>105.68</c:v>
                </c:pt>
                <c:pt idx="1508">
                  <c:v>103.21</c:v>
                </c:pt>
                <c:pt idx="1509">
                  <c:v>101.54</c:v>
                </c:pt>
                <c:pt idx="1510">
                  <c:v>98.97</c:v>
                </c:pt>
                <c:pt idx="1511">
                  <c:v>103.33</c:v>
                </c:pt>
                <c:pt idx="1512">
                  <c:v>98.33</c:v>
                </c:pt>
                <c:pt idx="1513">
                  <c:v>99.04</c:v>
                </c:pt>
                <c:pt idx="1514">
                  <c:v>94.71</c:v>
                </c:pt>
                <c:pt idx="1515">
                  <c:v>98.81</c:v>
                </c:pt>
                <c:pt idx="1516">
                  <c:v>97.33</c:v>
                </c:pt>
                <c:pt idx="1517">
                  <c:v>100.67</c:v>
                </c:pt>
                <c:pt idx="1518">
                  <c:v>101.9</c:v>
                </c:pt>
                <c:pt idx="1519">
                  <c:v>103</c:v>
                </c:pt>
                <c:pt idx="1520">
                  <c:v>100.82</c:v>
                </c:pt>
                <c:pt idx="1521">
                  <c:v>98.3</c:v>
                </c:pt>
                <c:pt idx="1522">
                  <c:v>97.71</c:v>
                </c:pt>
                <c:pt idx="1523">
                  <c:v>94.14</c:v>
                </c:pt>
                <c:pt idx="1524">
                  <c:v>93.15</c:v>
                </c:pt>
                <c:pt idx="1525">
                  <c:v>98.03</c:v>
                </c:pt>
                <c:pt idx="1526">
                  <c:v>99.39</c:v>
                </c:pt>
                <c:pt idx="1527">
                  <c:v>93.14</c:v>
                </c:pt>
                <c:pt idx="1528">
                  <c:v>91.28</c:v>
                </c:pt>
                <c:pt idx="1529">
                  <c:v>89.89</c:v>
                </c:pt>
                <c:pt idx="1530">
                  <c:v>85.95</c:v>
                </c:pt>
                <c:pt idx="1531">
                  <c:v>86.58</c:v>
                </c:pt>
                <c:pt idx="1532">
                  <c:v>81.180000000000007</c:v>
                </c:pt>
                <c:pt idx="1533">
                  <c:v>84.77</c:v>
                </c:pt>
                <c:pt idx="1534">
                  <c:v>86.27</c:v>
                </c:pt>
                <c:pt idx="1535">
                  <c:v>86.82</c:v>
                </c:pt>
                <c:pt idx="1536">
                  <c:v>84.56</c:v>
                </c:pt>
                <c:pt idx="1537">
                  <c:v>89.83</c:v>
                </c:pt>
                <c:pt idx="1538">
                  <c:v>84.73</c:v>
                </c:pt>
                <c:pt idx="1539">
                  <c:v>83.11</c:v>
                </c:pt>
                <c:pt idx="1540">
                  <c:v>87.02</c:v>
                </c:pt>
                <c:pt idx="1541">
                  <c:v>81.849999999999994</c:v>
                </c:pt>
                <c:pt idx="1542">
                  <c:v>82.61</c:v>
                </c:pt>
                <c:pt idx="1543">
                  <c:v>73.44</c:v>
                </c:pt>
                <c:pt idx="1544">
                  <c:v>76.66</c:v>
                </c:pt>
                <c:pt idx="1545">
                  <c:v>74.58</c:v>
                </c:pt>
                <c:pt idx="1546">
                  <c:v>80.63</c:v>
                </c:pt>
                <c:pt idx="1547">
                  <c:v>81.48</c:v>
                </c:pt>
                <c:pt idx="1548">
                  <c:v>80.69</c:v>
                </c:pt>
                <c:pt idx="1549">
                  <c:v>83.49</c:v>
                </c:pt>
                <c:pt idx="1550">
                  <c:v>77.739999999999995</c:v>
                </c:pt>
                <c:pt idx="1551">
                  <c:v>78.790000000000006</c:v>
                </c:pt>
                <c:pt idx="1552">
                  <c:v>69.36</c:v>
                </c:pt>
                <c:pt idx="1553">
                  <c:v>70.849999999999994</c:v>
                </c:pt>
                <c:pt idx="1554">
                  <c:v>73.849999999999994</c:v>
                </c:pt>
                <c:pt idx="1555">
                  <c:v>73.02</c:v>
                </c:pt>
                <c:pt idx="1556">
                  <c:v>79.88</c:v>
                </c:pt>
                <c:pt idx="1557">
                  <c:v>70.7</c:v>
                </c:pt>
                <c:pt idx="1558">
                  <c:v>83.8</c:v>
                </c:pt>
                <c:pt idx="1559">
                  <c:v>76.819999999999993</c:v>
                </c:pt>
                <c:pt idx="1560">
                  <c:v>89.27</c:v>
                </c:pt>
                <c:pt idx="1561">
                  <c:v>96</c:v>
                </c:pt>
                <c:pt idx="1562">
                  <c:v>89.95</c:v>
                </c:pt>
                <c:pt idx="1563">
                  <c:v>94.36</c:v>
                </c:pt>
                <c:pt idx="1564">
                  <c:v>97.3</c:v>
                </c:pt>
                <c:pt idx="1565">
                  <c:v>102.38</c:v>
                </c:pt>
                <c:pt idx="1566">
                  <c:v>98.3</c:v>
                </c:pt>
                <c:pt idx="1567">
                  <c:v>100.44</c:v>
                </c:pt>
                <c:pt idx="1568">
                  <c:v>100.58</c:v>
                </c:pt>
                <c:pt idx="1569">
                  <c:v>94.8</c:v>
                </c:pt>
                <c:pt idx="1570">
                  <c:v>96.13</c:v>
                </c:pt>
                <c:pt idx="1571">
                  <c:v>96.6</c:v>
                </c:pt>
                <c:pt idx="1572">
                  <c:v>96.34</c:v>
                </c:pt>
                <c:pt idx="1573">
                  <c:v>98.19</c:v>
                </c:pt>
                <c:pt idx="1574">
                  <c:v>101.56</c:v>
                </c:pt>
                <c:pt idx="1575">
                  <c:v>104.24</c:v>
                </c:pt>
                <c:pt idx="1576">
                  <c:v>103.23</c:v>
                </c:pt>
                <c:pt idx="1577">
                  <c:v>106.02</c:v>
                </c:pt>
                <c:pt idx="1578">
                  <c:v>109.17</c:v>
                </c:pt>
                <c:pt idx="1579">
                  <c:v>111.73</c:v>
                </c:pt>
                <c:pt idx="1580">
                  <c:v>108.59</c:v>
                </c:pt>
                <c:pt idx="1581">
                  <c:v>105.35</c:v>
                </c:pt>
                <c:pt idx="1582">
                  <c:v>105.15</c:v>
                </c:pt>
                <c:pt idx="1583">
                  <c:v>109.77</c:v>
                </c:pt>
                <c:pt idx="1584">
                  <c:v>111.32</c:v>
                </c:pt>
                <c:pt idx="1585">
                  <c:v>107.89</c:v>
                </c:pt>
                <c:pt idx="1586">
                  <c:v>107.56</c:v>
                </c:pt>
                <c:pt idx="1587">
                  <c:v>105.86</c:v>
                </c:pt>
                <c:pt idx="1588">
                  <c:v>111.79</c:v>
                </c:pt>
                <c:pt idx="1589">
                  <c:v>112.57</c:v>
                </c:pt>
                <c:pt idx="1590">
                  <c:v>113.56</c:v>
                </c:pt>
                <c:pt idx="1591">
                  <c:v>109.98</c:v>
                </c:pt>
                <c:pt idx="1592">
                  <c:v>113.39</c:v>
                </c:pt>
                <c:pt idx="1593">
                  <c:v>118.68</c:v>
                </c:pt>
                <c:pt idx="1594">
                  <c:v>116.33</c:v>
                </c:pt>
                <c:pt idx="1595">
                  <c:v>114.87</c:v>
                </c:pt>
                <c:pt idx="1596">
                  <c:v>114.74</c:v>
                </c:pt>
                <c:pt idx="1597">
                  <c:v>113.8</c:v>
                </c:pt>
                <c:pt idx="1598">
                  <c:v>112.5</c:v>
                </c:pt>
                <c:pt idx="1599">
                  <c:v>115.91</c:v>
                </c:pt>
                <c:pt idx="1600">
                  <c:v>115.74</c:v>
                </c:pt>
                <c:pt idx="1601">
                  <c:v>113.42</c:v>
                </c:pt>
                <c:pt idx="1602">
                  <c:v>111.96</c:v>
                </c:pt>
                <c:pt idx="1603">
                  <c:v>112.92</c:v>
                </c:pt>
                <c:pt idx="1604">
                  <c:v>111.23</c:v>
                </c:pt>
                <c:pt idx="1605">
                  <c:v>111.64</c:v>
                </c:pt>
                <c:pt idx="1606">
                  <c:v>112.34</c:v>
                </c:pt>
                <c:pt idx="1607">
                  <c:v>115.96</c:v>
                </c:pt>
                <c:pt idx="1608">
                  <c:v>116.23</c:v>
                </c:pt>
                <c:pt idx="1609">
                  <c:v>116.21</c:v>
                </c:pt>
                <c:pt idx="1610">
                  <c:v>116.84</c:v>
                </c:pt>
                <c:pt idx="1611">
                  <c:v>117.6</c:v>
                </c:pt>
                <c:pt idx="1612">
                  <c:v>117.96</c:v>
                </c:pt>
                <c:pt idx="1613">
                  <c:v>116.94</c:v>
                </c:pt>
                <c:pt idx="1614">
                  <c:v>116.67</c:v>
                </c:pt>
                <c:pt idx="1615">
                  <c:v>117.28</c:v>
                </c:pt>
                <c:pt idx="1616">
                  <c:v>115.29</c:v>
                </c:pt>
                <c:pt idx="1617">
                  <c:v>114.35</c:v>
                </c:pt>
                <c:pt idx="1618">
                  <c:v>115</c:v>
                </c:pt>
                <c:pt idx="1619">
                  <c:v>113.41</c:v>
                </c:pt>
                <c:pt idx="1620">
                  <c:v>115.35</c:v>
                </c:pt>
                <c:pt idx="1621">
                  <c:v>113.84</c:v>
                </c:pt>
                <c:pt idx="1622">
                  <c:v>109.86</c:v>
                </c:pt>
                <c:pt idx="1623">
                  <c:v>108.44</c:v>
                </c:pt>
                <c:pt idx="1624">
                  <c:v>106.62</c:v>
                </c:pt>
                <c:pt idx="1625">
                  <c:v>105.8</c:v>
                </c:pt>
                <c:pt idx="1626">
                  <c:v>104.03</c:v>
                </c:pt>
                <c:pt idx="1627">
                  <c:v>102.14</c:v>
                </c:pt>
                <c:pt idx="1628">
                  <c:v>102.97</c:v>
                </c:pt>
                <c:pt idx="1629">
                  <c:v>104.21</c:v>
                </c:pt>
                <c:pt idx="1630">
                  <c:v>105.03</c:v>
                </c:pt>
                <c:pt idx="1631">
                  <c:v>104.11</c:v>
                </c:pt>
                <c:pt idx="1632">
                  <c:v>104.31</c:v>
                </c:pt>
                <c:pt idx="1633">
                  <c:v>101.72</c:v>
                </c:pt>
                <c:pt idx="1634">
                  <c:v>100.9</c:v>
                </c:pt>
                <c:pt idx="1635">
                  <c:v>101.89</c:v>
                </c:pt>
                <c:pt idx="1636">
                  <c:v>102.84</c:v>
                </c:pt>
                <c:pt idx="1637">
                  <c:v>103.25</c:v>
                </c:pt>
                <c:pt idx="1638">
                  <c:v>103.75</c:v>
                </c:pt>
                <c:pt idx="1639">
                  <c:v>103.7</c:v>
                </c:pt>
                <c:pt idx="1640">
                  <c:v>103.89</c:v>
                </c:pt>
                <c:pt idx="1641">
                  <c:v>102.58</c:v>
                </c:pt>
                <c:pt idx="1642">
                  <c:v>102.29</c:v>
                </c:pt>
                <c:pt idx="1643">
                  <c:v>104.04</c:v>
                </c:pt>
                <c:pt idx="1644">
                  <c:v>101.31</c:v>
                </c:pt>
                <c:pt idx="1645">
                  <c:v>101.4</c:v>
                </c:pt>
                <c:pt idx="1646">
                  <c:v>101.3</c:v>
                </c:pt>
                <c:pt idx="1647">
                  <c:v>101.51</c:v>
                </c:pt>
                <c:pt idx="1648">
                  <c:v>97.22</c:v>
                </c:pt>
                <c:pt idx="1649">
                  <c:v>80.86</c:v>
                </c:pt>
                <c:pt idx="1650">
                  <c:v>79.849999999999994</c:v>
                </c:pt>
                <c:pt idx="1651">
                  <c:v>79.849999999999994</c:v>
                </c:pt>
                <c:pt idx="1652">
                  <c:v>80.319999999999993</c:v>
                </c:pt>
                <c:pt idx="1653">
                  <c:v>79.02</c:v>
                </c:pt>
                <c:pt idx="1654">
                  <c:v>79.41</c:v>
                </c:pt>
                <c:pt idx="1655">
                  <c:v>78.680000000000007</c:v>
                </c:pt>
                <c:pt idx="1656">
                  <c:v>78.33</c:v>
                </c:pt>
                <c:pt idx="1657">
                  <c:v>78.75</c:v>
                </c:pt>
                <c:pt idx="1658">
                  <c:v>77.59</c:v>
                </c:pt>
                <c:pt idx="1659">
                  <c:v>78.959999999999994</c:v>
                </c:pt>
                <c:pt idx="1660">
                  <c:v>79.069999999999993</c:v>
                </c:pt>
                <c:pt idx="1661">
                  <c:v>79.84</c:v>
                </c:pt>
                <c:pt idx="1662">
                  <c:v>77.34</c:v>
                </c:pt>
                <c:pt idx="1663">
                  <c:v>77.36</c:v>
                </c:pt>
                <c:pt idx="1664">
                  <c:v>76.8</c:v>
                </c:pt>
                <c:pt idx="1665">
                  <c:v>73.290000000000006</c:v>
                </c:pt>
                <c:pt idx="1666">
                  <c:v>72.459999999999994</c:v>
                </c:pt>
                <c:pt idx="1667">
                  <c:v>73.959999999999994</c:v>
                </c:pt>
                <c:pt idx="1668">
                  <c:v>74.88</c:v>
                </c:pt>
                <c:pt idx="1669">
                  <c:v>72.83</c:v>
                </c:pt>
                <c:pt idx="1670">
                  <c:v>71.37</c:v>
                </c:pt>
                <c:pt idx="1671">
                  <c:v>73.17</c:v>
                </c:pt>
                <c:pt idx="1672">
                  <c:v>74.14</c:v>
                </c:pt>
                <c:pt idx="1673">
                  <c:v>73.23</c:v>
                </c:pt>
                <c:pt idx="1674">
                  <c:v>75.099999999999994</c:v>
                </c:pt>
                <c:pt idx="1675">
                  <c:v>76.930000000000007</c:v>
                </c:pt>
                <c:pt idx="1676">
                  <c:v>76.72</c:v>
                </c:pt>
                <c:pt idx="1677">
                  <c:v>77.36</c:v>
                </c:pt>
                <c:pt idx="1678">
                  <c:v>75.98</c:v>
                </c:pt>
                <c:pt idx="1679">
                  <c:v>75.19</c:v>
                </c:pt>
                <c:pt idx="1680">
                  <c:v>76.7</c:v>
                </c:pt>
                <c:pt idx="1681">
                  <c:v>76.349999999999994</c:v>
                </c:pt>
                <c:pt idx="1682">
                  <c:v>77.22</c:v>
                </c:pt>
                <c:pt idx="1683">
                  <c:v>77.510000000000005</c:v>
                </c:pt>
                <c:pt idx="1684">
                  <c:v>77.8</c:v>
                </c:pt>
                <c:pt idx="1685">
                  <c:v>76.27</c:v>
                </c:pt>
                <c:pt idx="1686">
                  <c:v>76.8</c:v>
                </c:pt>
                <c:pt idx="1687">
                  <c:v>76</c:v>
                </c:pt>
                <c:pt idx="1688">
                  <c:v>75.45</c:v>
                </c:pt>
                <c:pt idx="1689">
                  <c:v>75.17</c:v>
                </c:pt>
                <c:pt idx="1690">
                  <c:v>72.37</c:v>
                </c:pt>
                <c:pt idx="1691">
                  <c:v>70.28</c:v>
                </c:pt>
                <c:pt idx="1692">
                  <c:v>71.430000000000007</c:v>
                </c:pt>
                <c:pt idx="1693">
                  <c:v>71.510000000000005</c:v>
                </c:pt>
                <c:pt idx="1694">
                  <c:v>69.569999999999993</c:v>
                </c:pt>
                <c:pt idx="1695">
                  <c:v>70.209999999999994</c:v>
                </c:pt>
                <c:pt idx="1696">
                  <c:v>70.8</c:v>
                </c:pt>
                <c:pt idx="1697">
                  <c:v>70.34</c:v>
                </c:pt>
                <c:pt idx="1698">
                  <c:v>73.489999999999995</c:v>
                </c:pt>
                <c:pt idx="1699">
                  <c:v>74.69</c:v>
                </c:pt>
                <c:pt idx="1700">
                  <c:v>73.06</c:v>
                </c:pt>
                <c:pt idx="1701">
                  <c:v>72.02</c:v>
                </c:pt>
                <c:pt idx="1702">
                  <c:v>71.61</c:v>
                </c:pt>
                <c:pt idx="1703">
                  <c:v>70.11</c:v>
                </c:pt>
                <c:pt idx="1704">
                  <c:v>69.78</c:v>
                </c:pt>
                <c:pt idx="1705">
                  <c:v>71.7</c:v>
                </c:pt>
                <c:pt idx="1706">
                  <c:v>69.39</c:v>
                </c:pt>
                <c:pt idx="1707">
                  <c:v>69.489999999999995</c:v>
                </c:pt>
                <c:pt idx="1708">
                  <c:v>72.06</c:v>
                </c:pt>
                <c:pt idx="1709">
                  <c:v>70.77</c:v>
                </c:pt>
                <c:pt idx="1710">
                  <c:v>70.14</c:v>
                </c:pt>
                <c:pt idx="1711">
                  <c:v>68.150000000000006</c:v>
                </c:pt>
                <c:pt idx="1712">
                  <c:v>70.89</c:v>
                </c:pt>
                <c:pt idx="1713">
                  <c:v>71.34</c:v>
                </c:pt>
                <c:pt idx="1714">
                  <c:v>73.290000000000006</c:v>
                </c:pt>
                <c:pt idx="1715">
                  <c:v>75.489999999999995</c:v>
                </c:pt>
                <c:pt idx="1716">
                  <c:v>74.680000000000007</c:v>
                </c:pt>
                <c:pt idx="1717">
                  <c:v>74.92</c:v>
                </c:pt>
                <c:pt idx="1718">
                  <c:v>74.73</c:v>
                </c:pt>
                <c:pt idx="1719">
                  <c:v>75.33</c:v>
                </c:pt>
                <c:pt idx="1720">
                  <c:v>73.89</c:v>
                </c:pt>
                <c:pt idx="1721">
                  <c:v>72.8</c:v>
                </c:pt>
                <c:pt idx="1722">
                  <c:v>71.290000000000006</c:v>
                </c:pt>
                <c:pt idx="1723">
                  <c:v>71.239999999999995</c:v>
                </c:pt>
                <c:pt idx="1724">
                  <c:v>70.52</c:v>
                </c:pt>
                <c:pt idx="1725">
                  <c:v>70.55</c:v>
                </c:pt>
                <c:pt idx="1726">
                  <c:v>70.69</c:v>
                </c:pt>
                <c:pt idx="1727">
                  <c:v>70.260000000000005</c:v>
                </c:pt>
                <c:pt idx="1728">
                  <c:v>69.34</c:v>
                </c:pt>
                <c:pt idx="1729">
                  <c:v>69.34</c:v>
                </c:pt>
                <c:pt idx="1730">
                  <c:v>69.63</c:v>
                </c:pt>
                <c:pt idx="1731">
                  <c:v>68.959999999999994</c:v>
                </c:pt>
                <c:pt idx="1732">
                  <c:v>68.97</c:v>
                </c:pt>
                <c:pt idx="1733">
                  <c:v>68.989999999999995</c:v>
                </c:pt>
                <c:pt idx="1734">
                  <c:v>69.62</c:v>
                </c:pt>
                <c:pt idx="1735">
                  <c:v>70.58</c:v>
                </c:pt>
                <c:pt idx="1736">
                  <c:v>66.61</c:v>
                </c:pt>
                <c:pt idx="1737">
                  <c:v>67.06</c:v>
                </c:pt>
                <c:pt idx="1738">
                  <c:v>65.64</c:v>
                </c:pt>
                <c:pt idx="1739">
                  <c:v>63.46</c:v>
                </c:pt>
                <c:pt idx="1740">
                  <c:v>64.55</c:v>
                </c:pt>
                <c:pt idx="1741">
                  <c:v>63.89</c:v>
                </c:pt>
                <c:pt idx="1742">
                  <c:v>64.84</c:v>
                </c:pt>
                <c:pt idx="1743">
                  <c:v>65.59</c:v>
                </c:pt>
                <c:pt idx="1744">
                  <c:v>65.09</c:v>
                </c:pt>
                <c:pt idx="1745">
                  <c:v>61.66</c:v>
                </c:pt>
                <c:pt idx="1746">
                  <c:v>61.5</c:v>
                </c:pt>
                <c:pt idx="1747">
                  <c:v>63.31</c:v>
                </c:pt>
                <c:pt idx="1748">
                  <c:v>62.78</c:v>
                </c:pt>
                <c:pt idx="1749">
                  <c:v>64.31</c:v>
                </c:pt>
                <c:pt idx="1750">
                  <c:v>65.5</c:v>
                </c:pt>
                <c:pt idx="1751">
                  <c:v>64.38</c:v>
                </c:pt>
                <c:pt idx="1752">
                  <c:v>63.45</c:v>
                </c:pt>
                <c:pt idx="1753">
                  <c:v>63.44</c:v>
                </c:pt>
                <c:pt idx="1754">
                  <c:v>64.180000000000007</c:v>
                </c:pt>
                <c:pt idx="1755">
                  <c:v>61.88</c:v>
                </c:pt>
                <c:pt idx="1756">
                  <c:v>61.18</c:v>
                </c:pt>
                <c:pt idx="1757">
                  <c:v>61.87</c:v>
                </c:pt>
                <c:pt idx="1758">
                  <c:v>62.08</c:v>
                </c:pt>
                <c:pt idx="1759">
                  <c:v>60.75</c:v>
                </c:pt>
                <c:pt idx="1760">
                  <c:v>62.3</c:v>
                </c:pt>
                <c:pt idx="1761">
                  <c:v>60.66</c:v>
                </c:pt>
                <c:pt idx="1762">
                  <c:v>60.2</c:v>
                </c:pt>
                <c:pt idx="1763">
                  <c:v>61.54</c:v>
                </c:pt>
                <c:pt idx="1764">
                  <c:v>61.27</c:v>
                </c:pt>
                <c:pt idx="1765">
                  <c:v>63.93</c:v>
                </c:pt>
                <c:pt idx="1766">
                  <c:v>68.11</c:v>
                </c:pt>
                <c:pt idx="1767">
                  <c:v>73.349999999999994</c:v>
                </c:pt>
                <c:pt idx="1768">
                  <c:v>72.86</c:v>
                </c:pt>
                <c:pt idx="1769">
                  <c:v>71.05</c:v>
                </c:pt>
                <c:pt idx="1770">
                  <c:v>75.069999999999993</c:v>
                </c:pt>
                <c:pt idx="1771">
                  <c:v>75.150000000000006</c:v>
                </c:pt>
                <c:pt idx="1772">
                  <c:v>76.180000000000007</c:v>
                </c:pt>
                <c:pt idx="1773">
                  <c:v>73.680000000000007</c:v>
                </c:pt>
                <c:pt idx="1774">
                  <c:v>74.33</c:v>
                </c:pt>
                <c:pt idx="1775">
                  <c:v>75.180000000000007</c:v>
                </c:pt>
                <c:pt idx="1776">
                  <c:v>76.75</c:v>
                </c:pt>
                <c:pt idx="1777">
                  <c:v>75.58</c:v>
                </c:pt>
                <c:pt idx="1778">
                  <c:v>75.61</c:v>
                </c:pt>
                <c:pt idx="1779">
                  <c:v>75.45</c:v>
                </c:pt>
                <c:pt idx="1780">
                  <c:v>74.989999999999995</c:v>
                </c:pt>
                <c:pt idx="1781">
                  <c:v>77.3</c:v>
                </c:pt>
                <c:pt idx="1782">
                  <c:v>77.25</c:v>
                </c:pt>
                <c:pt idx="1783">
                  <c:v>76.599999999999994</c:v>
                </c:pt>
                <c:pt idx="1784">
                  <c:v>76.010000000000005</c:v>
                </c:pt>
                <c:pt idx="1785">
                  <c:v>76.680000000000007</c:v>
                </c:pt>
                <c:pt idx="1786">
                  <c:v>76.56</c:v>
                </c:pt>
                <c:pt idx="1787">
                  <c:v>78.31</c:v>
                </c:pt>
                <c:pt idx="1788">
                  <c:v>76.39</c:v>
                </c:pt>
                <c:pt idx="1789">
                  <c:v>77.19</c:v>
                </c:pt>
                <c:pt idx="1790">
                  <c:v>76.05</c:v>
                </c:pt>
                <c:pt idx="1791">
                  <c:v>76.23</c:v>
                </c:pt>
                <c:pt idx="1792">
                  <c:v>75.22</c:v>
                </c:pt>
                <c:pt idx="1793">
                  <c:v>75.25</c:v>
                </c:pt>
                <c:pt idx="1794">
                  <c:v>74.89</c:v>
                </c:pt>
                <c:pt idx="1795">
                  <c:v>74.040000000000006</c:v>
                </c:pt>
                <c:pt idx="1796">
                  <c:v>74.41</c:v>
                </c:pt>
                <c:pt idx="1797">
                  <c:v>74.069999999999993</c:v>
                </c:pt>
                <c:pt idx="1798">
                  <c:v>73.209999999999994</c:v>
                </c:pt>
                <c:pt idx="1799">
                  <c:v>71.73</c:v>
                </c:pt>
                <c:pt idx="1800">
                  <c:v>70.23</c:v>
                </c:pt>
                <c:pt idx="1801">
                  <c:v>70.569999999999993</c:v>
                </c:pt>
                <c:pt idx="1802">
                  <c:v>71.150000000000006</c:v>
                </c:pt>
                <c:pt idx="1803">
                  <c:v>70.87</c:v>
                </c:pt>
                <c:pt idx="1804">
                  <c:v>71.67</c:v>
                </c:pt>
                <c:pt idx="1805">
                  <c:v>73.89</c:v>
                </c:pt>
                <c:pt idx="1806">
                  <c:v>69.12</c:v>
                </c:pt>
                <c:pt idx="1807">
                  <c:v>70.11</c:v>
                </c:pt>
                <c:pt idx="1808">
                  <c:v>69.83</c:v>
                </c:pt>
                <c:pt idx="1809">
                  <c:v>69.66</c:v>
                </c:pt>
                <c:pt idx="1810">
                  <c:v>68.650000000000006</c:v>
                </c:pt>
                <c:pt idx="1811">
                  <c:v>69.09</c:v>
                </c:pt>
                <c:pt idx="1812">
                  <c:v>69.239999999999995</c:v>
                </c:pt>
                <c:pt idx="1813">
                  <c:v>69.37</c:v>
                </c:pt>
                <c:pt idx="1814">
                  <c:v>68.58</c:v>
                </c:pt>
                <c:pt idx="1815">
                  <c:v>68.349999999999994</c:v>
                </c:pt>
                <c:pt idx="1816">
                  <c:v>69.069999999999993</c:v>
                </c:pt>
                <c:pt idx="1817">
                  <c:v>69.86</c:v>
                </c:pt>
                <c:pt idx="1818">
                  <c:v>70.05</c:v>
                </c:pt>
                <c:pt idx="1819">
                  <c:v>70.5</c:v>
                </c:pt>
                <c:pt idx="1820">
                  <c:v>70.14</c:v>
                </c:pt>
                <c:pt idx="1821">
                  <c:v>69.349999999999994</c:v>
                </c:pt>
                <c:pt idx="1822">
                  <c:v>69.14</c:v>
                </c:pt>
                <c:pt idx="1823">
                  <c:v>68.7</c:v>
                </c:pt>
                <c:pt idx="1824">
                  <c:v>67.8</c:v>
                </c:pt>
                <c:pt idx="1825">
                  <c:v>66.06</c:v>
                </c:pt>
                <c:pt idx="1826">
                  <c:v>65.86</c:v>
                </c:pt>
                <c:pt idx="1827">
                  <c:v>64.87</c:v>
                </c:pt>
                <c:pt idx="1828">
                  <c:v>65.16</c:v>
                </c:pt>
                <c:pt idx="1829">
                  <c:v>64.67</c:v>
                </c:pt>
                <c:pt idx="1830">
                  <c:v>64.900000000000006</c:v>
                </c:pt>
                <c:pt idx="1831">
                  <c:v>65.180000000000007</c:v>
                </c:pt>
                <c:pt idx="1832">
                  <c:v>64.5</c:v>
                </c:pt>
                <c:pt idx="1833">
                  <c:v>64.510000000000005</c:v>
                </c:pt>
                <c:pt idx="1834">
                  <c:v>66.53</c:v>
                </c:pt>
                <c:pt idx="1835">
                  <c:v>68.63</c:v>
                </c:pt>
                <c:pt idx="1836">
                  <c:v>66.040000000000006</c:v>
                </c:pt>
                <c:pt idx="1837">
                  <c:v>65.959999999999994</c:v>
                </c:pt>
                <c:pt idx="1838">
                  <c:v>65.92</c:v>
                </c:pt>
                <c:pt idx="1839">
                  <c:v>65.36</c:v>
                </c:pt>
                <c:pt idx="1840">
                  <c:v>65.53</c:v>
                </c:pt>
                <c:pt idx="1841">
                  <c:v>63.66</c:v>
                </c:pt>
                <c:pt idx="1842">
                  <c:v>65.09</c:v>
                </c:pt>
                <c:pt idx="1843">
                  <c:v>65.760000000000005</c:v>
                </c:pt>
                <c:pt idx="1844">
                  <c:v>63.38</c:v>
                </c:pt>
                <c:pt idx="1845">
                  <c:v>61.91</c:v>
                </c:pt>
                <c:pt idx="1846">
                  <c:v>61.94</c:v>
                </c:pt>
                <c:pt idx="1847">
                  <c:v>63.28</c:v>
                </c:pt>
                <c:pt idx="1848">
                  <c:v>62.25</c:v>
                </c:pt>
                <c:pt idx="1849">
                  <c:v>61.41</c:v>
                </c:pt>
                <c:pt idx="1850">
                  <c:v>61.56</c:v>
                </c:pt>
                <c:pt idx="1851">
                  <c:v>61.18</c:v>
                </c:pt>
                <c:pt idx="1852">
                  <c:v>63.69</c:v>
                </c:pt>
                <c:pt idx="1853">
                  <c:v>61.86</c:v>
                </c:pt>
                <c:pt idx="1854">
                  <c:v>60.45</c:v>
                </c:pt>
                <c:pt idx="1855">
                  <c:v>59.37</c:v>
                </c:pt>
                <c:pt idx="1856">
                  <c:v>59.78</c:v>
                </c:pt>
                <c:pt idx="1857">
                  <c:v>59.37</c:v>
                </c:pt>
                <c:pt idx="1858">
                  <c:v>55.64</c:v>
                </c:pt>
                <c:pt idx="1859">
                  <c:v>61.18</c:v>
                </c:pt>
                <c:pt idx="1860">
                  <c:v>60.73</c:v>
                </c:pt>
                <c:pt idx="1861">
                  <c:v>60.79</c:v>
                </c:pt>
                <c:pt idx="1862">
                  <c:v>60.39</c:v>
                </c:pt>
                <c:pt idx="1863">
                  <c:v>60.02</c:v>
                </c:pt>
                <c:pt idx="1864">
                  <c:v>56.47</c:v>
                </c:pt>
                <c:pt idx="1865">
                  <c:v>57.68</c:v>
                </c:pt>
                <c:pt idx="1866">
                  <c:v>59.8</c:v>
                </c:pt>
                <c:pt idx="1867">
                  <c:v>59.64</c:v>
                </c:pt>
                <c:pt idx="1868">
                  <c:v>61.7</c:v>
                </c:pt>
                <c:pt idx="1869">
                  <c:v>60.34</c:v>
                </c:pt>
                <c:pt idx="1870">
                  <c:v>60.52</c:v>
                </c:pt>
                <c:pt idx="1871">
                  <c:v>60.77</c:v>
                </c:pt>
                <c:pt idx="1872">
                  <c:v>60.64</c:v>
                </c:pt>
                <c:pt idx="1873">
                  <c:v>59.58</c:v>
                </c:pt>
                <c:pt idx="1874">
                  <c:v>59.52</c:v>
                </c:pt>
                <c:pt idx="1875">
                  <c:v>61.13</c:v>
                </c:pt>
                <c:pt idx="1876">
                  <c:v>62.72</c:v>
                </c:pt>
                <c:pt idx="1877">
                  <c:v>64.16</c:v>
                </c:pt>
                <c:pt idx="1878">
                  <c:v>67.75</c:v>
                </c:pt>
                <c:pt idx="1879">
                  <c:v>65.81</c:v>
                </c:pt>
                <c:pt idx="1880">
                  <c:v>65.290000000000006</c:v>
                </c:pt>
                <c:pt idx="1881">
                  <c:v>67.02</c:v>
                </c:pt>
                <c:pt idx="1882">
                  <c:v>64.83</c:v>
                </c:pt>
                <c:pt idx="1883">
                  <c:v>65.47</c:v>
                </c:pt>
                <c:pt idx="1884">
                  <c:v>64.33</c:v>
                </c:pt>
                <c:pt idx="1885">
                  <c:v>63.58</c:v>
                </c:pt>
                <c:pt idx="1886">
                  <c:v>62.02</c:v>
                </c:pt>
                <c:pt idx="1887">
                  <c:v>63.15</c:v>
                </c:pt>
                <c:pt idx="1888">
                  <c:v>66.319999999999993</c:v>
                </c:pt>
                <c:pt idx="1889">
                  <c:v>65.16</c:v>
                </c:pt>
                <c:pt idx="1890">
                  <c:v>62.88</c:v>
                </c:pt>
                <c:pt idx="1891">
                  <c:v>63.65</c:v>
                </c:pt>
                <c:pt idx="1892">
                  <c:v>63.8</c:v>
                </c:pt>
                <c:pt idx="1893">
                  <c:v>68.150000000000006</c:v>
                </c:pt>
                <c:pt idx="1894">
                  <c:v>70.73</c:v>
                </c:pt>
                <c:pt idx="1895">
                  <c:v>70.28</c:v>
                </c:pt>
                <c:pt idx="1896">
                  <c:v>70.010000000000005</c:v>
                </c:pt>
                <c:pt idx="1897">
                  <c:v>69.319999999999993</c:v>
                </c:pt>
                <c:pt idx="1898">
                  <c:v>74</c:v>
                </c:pt>
                <c:pt idx="1899">
                  <c:v>78.489999999999995</c:v>
                </c:pt>
                <c:pt idx="1900">
                  <c:v>73.510000000000005</c:v>
                </c:pt>
                <c:pt idx="1901">
                  <c:v>70.95</c:v>
                </c:pt>
                <c:pt idx="1902">
                  <c:v>69.319999999999993</c:v>
                </c:pt>
                <c:pt idx="1903">
                  <c:v>69.739999999999995</c:v>
                </c:pt>
                <c:pt idx="1904">
                  <c:v>70.98</c:v>
                </c:pt>
                <c:pt idx="1905">
                  <c:v>68.180000000000007</c:v>
                </c:pt>
                <c:pt idx="1906">
                  <c:v>72.3</c:v>
                </c:pt>
                <c:pt idx="1907">
                  <c:v>72.88</c:v>
                </c:pt>
                <c:pt idx="1908">
                  <c:v>72.349999999999994</c:v>
                </c:pt>
                <c:pt idx="1909">
                  <c:v>73.400000000000006</c:v>
                </c:pt>
                <c:pt idx="1910">
                  <c:v>75.42</c:v>
                </c:pt>
                <c:pt idx="1911">
                  <c:v>75.45</c:v>
                </c:pt>
                <c:pt idx="1912">
                  <c:v>72.63</c:v>
                </c:pt>
                <c:pt idx="1913">
                  <c:v>72.680000000000007</c:v>
                </c:pt>
                <c:pt idx="1914">
                  <c:v>71.39</c:v>
                </c:pt>
                <c:pt idx="1915">
                  <c:v>70.290000000000006</c:v>
                </c:pt>
                <c:pt idx="1916">
                  <c:v>74.34</c:v>
                </c:pt>
                <c:pt idx="1917">
                  <c:v>72.98</c:v>
                </c:pt>
                <c:pt idx="1918">
                  <c:v>72.69</c:v>
                </c:pt>
                <c:pt idx="1919">
                  <c:v>76.17</c:v>
                </c:pt>
                <c:pt idx="1920">
                  <c:v>76.25</c:v>
                </c:pt>
                <c:pt idx="1921">
                  <c:v>77.290000000000006</c:v>
                </c:pt>
                <c:pt idx="1922">
                  <c:v>77.099999999999994</c:v>
                </c:pt>
                <c:pt idx="1923">
                  <c:v>76.89</c:v>
                </c:pt>
                <c:pt idx="1924">
                  <c:v>74.72</c:v>
                </c:pt>
                <c:pt idx="1925">
                  <c:v>75.06</c:v>
                </c:pt>
                <c:pt idx="1926">
                  <c:v>76.25</c:v>
                </c:pt>
                <c:pt idx="1927">
                  <c:v>78.45</c:v>
                </c:pt>
                <c:pt idx="1928">
                  <c:v>78.62</c:v>
                </c:pt>
                <c:pt idx="1929">
                  <c:v>78.67</c:v>
                </c:pt>
                <c:pt idx="1930">
                  <c:v>76.81</c:v>
                </c:pt>
                <c:pt idx="1931">
                  <c:v>75.040000000000006</c:v>
                </c:pt>
                <c:pt idx="1932">
                  <c:v>73.97</c:v>
                </c:pt>
                <c:pt idx="1933">
                  <c:v>75.739999999999995</c:v>
                </c:pt>
                <c:pt idx="1934">
                  <c:v>75.3</c:v>
                </c:pt>
                <c:pt idx="1935">
                  <c:v>73.459999999999994</c:v>
                </c:pt>
                <c:pt idx="1936">
                  <c:v>73.37</c:v>
                </c:pt>
                <c:pt idx="1937">
                  <c:v>73.98</c:v>
                </c:pt>
                <c:pt idx="1938">
                  <c:v>74.95</c:v>
                </c:pt>
                <c:pt idx="1939">
                  <c:v>75.13</c:v>
                </c:pt>
                <c:pt idx="1940">
                  <c:v>79.680000000000007</c:v>
                </c:pt>
                <c:pt idx="1941">
                  <c:v>80.28</c:v>
                </c:pt>
                <c:pt idx="1942">
                  <c:v>80.09</c:v>
                </c:pt>
                <c:pt idx="1943">
                  <c:v>79.400000000000006</c:v>
                </c:pt>
                <c:pt idx="1944">
                  <c:v>80.290000000000006</c:v>
                </c:pt>
                <c:pt idx="1945">
                  <c:v>79.83</c:v>
                </c:pt>
                <c:pt idx="1946">
                  <c:v>79.59</c:v>
                </c:pt>
                <c:pt idx="1947">
                  <c:v>79.63</c:v>
                </c:pt>
                <c:pt idx="1948">
                  <c:v>79.2</c:v>
                </c:pt>
                <c:pt idx="1949">
                  <c:v>80.62</c:v>
                </c:pt>
                <c:pt idx="1950">
                  <c:v>81.099999999999994</c:v>
                </c:pt>
                <c:pt idx="1951">
                  <c:v>78.180000000000007</c:v>
                </c:pt>
                <c:pt idx="1952">
                  <c:v>81.5</c:v>
                </c:pt>
                <c:pt idx="1953">
                  <c:v>82.16</c:v>
                </c:pt>
                <c:pt idx="1954">
                  <c:v>81.95</c:v>
                </c:pt>
                <c:pt idx="1955">
                  <c:v>82.79</c:v>
                </c:pt>
                <c:pt idx="1956">
                  <c:v>83.11</c:v>
                </c:pt>
                <c:pt idx="1957">
                  <c:v>83.19</c:v>
                </c:pt>
                <c:pt idx="1958">
                  <c:v>85.51</c:v>
                </c:pt>
                <c:pt idx="1959">
                  <c:v>85.55</c:v>
                </c:pt>
                <c:pt idx="1960">
                  <c:v>86.06</c:v>
                </c:pt>
                <c:pt idx="1961">
                  <c:v>85.2</c:v>
                </c:pt>
                <c:pt idx="1962">
                  <c:v>84.18</c:v>
                </c:pt>
                <c:pt idx="1963">
                  <c:v>84.41</c:v>
                </c:pt>
                <c:pt idx="1964">
                  <c:v>82.18</c:v>
                </c:pt>
                <c:pt idx="1965">
                  <c:v>81.760000000000005</c:v>
                </c:pt>
                <c:pt idx="1966">
                  <c:v>80.83</c:v>
                </c:pt>
                <c:pt idx="1967">
                  <c:v>81.72</c:v>
                </c:pt>
                <c:pt idx="1968">
                  <c:v>82.2</c:v>
                </c:pt>
                <c:pt idx="1969">
                  <c:v>81.25</c:v>
                </c:pt>
                <c:pt idx="1970">
                  <c:v>81.22</c:v>
                </c:pt>
                <c:pt idx="1971">
                  <c:v>82.54</c:v>
                </c:pt>
                <c:pt idx="1972">
                  <c:v>81.2</c:v>
                </c:pt>
                <c:pt idx="1973">
                  <c:v>83.76</c:v>
                </c:pt>
                <c:pt idx="1974">
                  <c:v>82.4</c:v>
                </c:pt>
                <c:pt idx="1975">
                  <c:v>82.72</c:v>
                </c:pt>
                <c:pt idx="1976">
                  <c:v>81.33</c:v>
                </c:pt>
                <c:pt idx="1977">
                  <c:v>81.37</c:v>
                </c:pt>
                <c:pt idx="1978">
                  <c:v>81.98</c:v>
                </c:pt>
                <c:pt idx="1979">
                  <c:v>80.260000000000005</c:v>
                </c:pt>
                <c:pt idx="1980">
                  <c:v>83.29</c:v>
                </c:pt>
                <c:pt idx="1981">
                  <c:v>82.58</c:v>
                </c:pt>
                <c:pt idx="1982">
                  <c:v>81.53</c:v>
                </c:pt>
                <c:pt idx="1983">
                  <c:v>81.819999999999993</c:v>
                </c:pt>
                <c:pt idx="1984">
                  <c:v>77.44</c:v>
                </c:pt>
                <c:pt idx="1985">
                  <c:v>80.099999999999994</c:v>
                </c:pt>
                <c:pt idx="1986">
                  <c:v>80.17</c:v>
                </c:pt>
                <c:pt idx="1987">
                  <c:v>80.48</c:v>
                </c:pt>
                <c:pt idx="1988">
                  <c:v>79.89</c:v>
                </c:pt>
                <c:pt idx="1989">
                  <c:v>81.72</c:v>
                </c:pt>
                <c:pt idx="1990">
                  <c:v>80.36</c:v>
                </c:pt>
                <c:pt idx="1991">
                  <c:v>82.05</c:v>
                </c:pt>
                <c:pt idx="1992">
                  <c:v>82.23</c:v>
                </c:pt>
                <c:pt idx="1993">
                  <c:v>83.46</c:v>
                </c:pt>
                <c:pt idx="1994">
                  <c:v>83.51</c:v>
                </c:pt>
                <c:pt idx="1995">
                  <c:v>85.79</c:v>
                </c:pt>
                <c:pt idx="1996">
                  <c:v>85.12</c:v>
                </c:pt>
                <c:pt idx="1997">
                  <c:v>83.65</c:v>
                </c:pt>
                <c:pt idx="1998">
                  <c:v>80.400000000000006</c:v>
                </c:pt>
                <c:pt idx="1999">
                  <c:v>80.73</c:v>
                </c:pt>
                <c:pt idx="2000">
                  <c:v>79.83</c:v>
                </c:pt>
                <c:pt idx="2001">
                  <c:v>80.16</c:v>
                </c:pt>
                <c:pt idx="2002">
                  <c:v>81.040000000000006</c:v>
                </c:pt>
                <c:pt idx="2003">
                  <c:v>80.09</c:v>
                </c:pt>
                <c:pt idx="2004">
                  <c:v>81.72</c:v>
                </c:pt>
                <c:pt idx="2005">
                  <c:v>81.69</c:v>
                </c:pt>
                <c:pt idx="2006">
                  <c:v>81.81</c:v>
                </c:pt>
                <c:pt idx="2007">
                  <c:v>80.25</c:v>
                </c:pt>
                <c:pt idx="2008">
                  <c:v>80.930000000000007</c:v>
                </c:pt>
                <c:pt idx="2009">
                  <c:v>79.94</c:v>
                </c:pt>
                <c:pt idx="2010">
                  <c:v>81.489999999999995</c:v>
                </c:pt>
                <c:pt idx="2011">
                  <c:v>81.23</c:v>
                </c:pt>
                <c:pt idx="2012">
                  <c:v>81.3</c:v>
                </c:pt>
                <c:pt idx="2013">
                  <c:v>80.78</c:v>
                </c:pt>
                <c:pt idx="2014">
                  <c:v>81.150000000000006</c:v>
                </c:pt>
                <c:pt idx="2015">
                  <c:v>79.59</c:v>
                </c:pt>
                <c:pt idx="2016">
                  <c:v>80.61</c:v>
                </c:pt>
                <c:pt idx="2017">
                  <c:v>81.05</c:v>
                </c:pt>
                <c:pt idx="2018">
                  <c:v>80.099999999999994</c:v>
                </c:pt>
                <c:pt idx="2019">
                  <c:v>81.67</c:v>
                </c:pt>
                <c:pt idx="2020">
                  <c:v>81.64</c:v>
                </c:pt>
                <c:pt idx="2021">
                  <c:v>81.99</c:v>
                </c:pt>
                <c:pt idx="2022">
                  <c:v>80.209999999999994</c:v>
                </c:pt>
                <c:pt idx="2023">
                  <c:v>79.89</c:v>
                </c:pt>
                <c:pt idx="2024">
                  <c:v>79.64</c:v>
                </c:pt>
                <c:pt idx="2025">
                  <c:v>79.489999999999995</c:v>
                </c:pt>
                <c:pt idx="2026">
                  <c:v>76.73</c:v>
                </c:pt>
                <c:pt idx="2027">
                  <c:v>74.239999999999995</c:v>
                </c:pt>
                <c:pt idx="2028">
                  <c:v>71.8</c:v>
                </c:pt>
                <c:pt idx="2029">
                  <c:v>67.400000000000006</c:v>
                </c:pt>
                <c:pt idx="2030">
                  <c:v>67.38</c:v>
                </c:pt>
                <c:pt idx="2031">
                  <c:v>68.48</c:v>
                </c:pt>
                <c:pt idx="2032">
                  <c:v>67.66</c:v>
                </c:pt>
                <c:pt idx="2033">
                  <c:v>68.06</c:v>
                </c:pt>
                <c:pt idx="2034">
                  <c:v>68.680000000000007</c:v>
                </c:pt>
                <c:pt idx="2035">
                  <c:v>69.88</c:v>
                </c:pt>
                <c:pt idx="2036">
                  <c:v>70.63</c:v>
                </c:pt>
                <c:pt idx="2037">
                  <c:v>73.12</c:v>
                </c:pt>
                <c:pt idx="2038">
                  <c:v>73.47</c:v>
                </c:pt>
                <c:pt idx="2039">
                  <c:v>72.28</c:v>
                </c:pt>
                <c:pt idx="2040">
                  <c:v>72.55</c:v>
                </c:pt>
                <c:pt idx="2041">
                  <c:v>72.510000000000005</c:v>
                </c:pt>
                <c:pt idx="2042">
                  <c:v>72.2</c:v>
                </c:pt>
                <c:pt idx="2043">
                  <c:v>71.239999999999995</c:v>
                </c:pt>
                <c:pt idx="2044">
                  <c:v>69.59</c:v>
                </c:pt>
                <c:pt idx="2045">
                  <c:v>69.72</c:v>
                </c:pt>
                <c:pt idx="2046">
                  <c:v>71.41</c:v>
                </c:pt>
                <c:pt idx="2047">
                  <c:v>71.510000000000005</c:v>
                </c:pt>
                <c:pt idx="2048">
                  <c:v>69.709999999999994</c:v>
                </c:pt>
                <c:pt idx="2049">
                  <c:v>68.53</c:v>
                </c:pt>
                <c:pt idx="2050">
                  <c:v>70.45</c:v>
                </c:pt>
                <c:pt idx="2051">
                  <c:v>68.540000000000006</c:v>
                </c:pt>
                <c:pt idx="2052">
                  <c:v>70.23</c:v>
                </c:pt>
                <c:pt idx="2053">
                  <c:v>73.34</c:v>
                </c:pt>
                <c:pt idx="2054">
                  <c:v>71.55</c:v>
                </c:pt>
                <c:pt idx="2055">
                  <c:v>72.650000000000006</c:v>
                </c:pt>
                <c:pt idx="2056">
                  <c:v>74.180000000000007</c:v>
                </c:pt>
                <c:pt idx="2057">
                  <c:v>75.069999999999993</c:v>
                </c:pt>
                <c:pt idx="2058">
                  <c:v>78.42</c:v>
                </c:pt>
                <c:pt idx="2059">
                  <c:v>80.75</c:v>
                </c:pt>
                <c:pt idx="2060">
                  <c:v>79</c:v>
                </c:pt>
                <c:pt idx="2061">
                  <c:v>82.22</c:v>
                </c:pt>
                <c:pt idx="2062">
                  <c:v>83.42</c:v>
                </c:pt>
                <c:pt idx="2063">
                  <c:v>86.39</c:v>
                </c:pt>
                <c:pt idx="2064">
                  <c:v>85.51</c:v>
                </c:pt>
                <c:pt idx="2065">
                  <c:v>84.23</c:v>
                </c:pt>
                <c:pt idx="2066">
                  <c:v>83.32</c:v>
                </c:pt>
                <c:pt idx="2067">
                  <c:v>83.68</c:v>
                </c:pt>
                <c:pt idx="2068">
                  <c:v>83.19</c:v>
                </c:pt>
                <c:pt idx="2069">
                  <c:v>81.13</c:v>
                </c:pt>
                <c:pt idx="2070">
                  <c:v>78.61</c:v>
                </c:pt>
                <c:pt idx="2071">
                  <c:v>80.709999999999994</c:v>
                </c:pt>
                <c:pt idx="2072">
                  <c:v>81.209999999999994</c:v>
                </c:pt>
                <c:pt idx="2073">
                  <c:v>81.48</c:v>
                </c:pt>
                <c:pt idx="2074">
                  <c:v>80.13</c:v>
                </c:pt>
                <c:pt idx="2075">
                  <c:v>78.5</c:v>
                </c:pt>
                <c:pt idx="2076">
                  <c:v>79.95</c:v>
                </c:pt>
                <c:pt idx="2077">
                  <c:v>80.17</c:v>
                </c:pt>
                <c:pt idx="2078">
                  <c:v>77.31</c:v>
                </c:pt>
                <c:pt idx="2079">
                  <c:v>78.56</c:v>
                </c:pt>
                <c:pt idx="2080">
                  <c:v>78.819999999999993</c:v>
                </c:pt>
                <c:pt idx="2081">
                  <c:v>79.349999999999994</c:v>
                </c:pt>
                <c:pt idx="2082">
                  <c:v>79.17</c:v>
                </c:pt>
                <c:pt idx="2083">
                  <c:v>77.849999999999994</c:v>
                </c:pt>
                <c:pt idx="2084">
                  <c:v>76.849999999999994</c:v>
                </c:pt>
                <c:pt idx="2085">
                  <c:v>78.09</c:v>
                </c:pt>
                <c:pt idx="2086">
                  <c:v>79.069999999999993</c:v>
                </c:pt>
                <c:pt idx="2087">
                  <c:v>75.58</c:v>
                </c:pt>
                <c:pt idx="2088">
                  <c:v>80.77</c:v>
                </c:pt>
                <c:pt idx="2089">
                  <c:v>83.34</c:v>
                </c:pt>
                <c:pt idx="2090">
                  <c:v>71.77</c:v>
                </c:pt>
                <c:pt idx="2091">
                  <c:v>70.67</c:v>
                </c:pt>
                <c:pt idx="2092">
                  <c:v>68.19</c:v>
                </c:pt>
                <c:pt idx="2093">
                  <c:v>67.94</c:v>
                </c:pt>
                <c:pt idx="2094">
                  <c:v>66.06</c:v>
                </c:pt>
                <c:pt idx="2095">
                  <c:v>66.900000000000006</c:v>
                </c:pt>
                <c:pt idx="2096">
                  <c:v>67.319999999999993</c:v>
                </c:pt>
                <c:pt idx="2097">
                  <c:v>66.34</c:v>
                </c:pt>
                <c:pt idx="2098">
                  <c:v>68.400000000000006</c:v>
                </c:pt>
                <c:pt idx="2099">
                  <c:v>70.7</c:v>
                </c:pt>
                <c:pt idx="2100">
                  <c:v>70.849999999999994</c:v>
                </c:pt>
                <c:pt idx="2101">
                  <c:v>69.3</c:v>
                </c:pt>
                <c:pt idx="2102">
                  <c:v>71.040000000000006</c:v>
                </c:pt>
                <c:pt idx="2103">
                  <c:v>68.88</c:v>
                </c:pt>
                <c:pt idx="2104">
                  <c:v>67.739999999999995</c:v>
                </c:pt>
                <c:pt idx="2105">
                  <c:v>69</c:v>
                </c:pt>
                <c:pt idx="2106">
                  <c:v>68.84</c:v>
                </c:pt>
                <c:pt idx="2107">
                  <c:v>68.03</c:v>
                </c:pt>
                <c:pt idx="2108">
                  <c:v>68.72</c:v>
                </c:pt>
                <c:pt idx="2109">
                  <c:v>68.39</c:v>
                </c:pt>
                <c:pt idx="2110">
                  <c:v>68.88</c:v>
                </c:pt>
                <c:pt idx="2111">
                  <c:v>66.599999999999994</c:v>
                </c:pt>
                <c:pt idx="2112">
                  <c:v>67.36</c:v>
                </c:pt>
                <c:pt idx="2113">
                  <c:v>67.260000000000005</c:v>
                </c:pt>
                <c:pt idx="2114">
                  <c:v>65.900000000000006</c:v>
                </c:pt>
                <c:pt idx="2115">
                  <c:v>67.69</c:v>
                </c:pt>
                <c:pt idx="2116">
                  <c:v>67.48</c:v>
                </c:pt>
                <c:pt idx="2117">
                  <c:v>67.069999999999993</c:v>
                </c:pt>
                <c:pt idx="2118">
                  <c:v>66.790000000000006</c:v>
                </c:pt>
                <c:pt idx="2119">
                  <c:v>67.05</c:v>
                </c:pt>
                <c:pt idx="2120">
                  <c:v>65.53</c:v>
                </c:pt>
                <c:pt idx="2121">
                  <c:v>65.23</c:v>
                </c:pt>
                <c:pt idx="2122">
                  <c:v>67.290000000000006</c:v>
                </c:pt>
                <c:pt idx="2123">
                  <c:v>67.69</c:v>
                </c:pt>
                <c:pt idx="2124">
                  <c:v>68.62</c:v>
                </c:pt>
                <c:pt idx="2125">
                  <c:v>67.88</c:v>
                </c:pt>
                <c:pt idx="2126">
                  <c:v>68.72</c:v>
                </c:pt>
                <c:pt idx="2127">
                  <c:v>70.099999999999994</c:v>
                </c:pt>
                <c:pt idx="2128">
                  <c:v>71.78</c:v>
                </c:pt>
                <c:pt idx="2129">
                  <c:v>72.400000000000006</c:v>
                </c:pt>
                <c:pt idx="2130">
                  <c:v>74.209999999999994</c:v>
                </c:pt>
                <c:pt idx="2131">
                  <c:v>76.58</c:v>
                </c:pt>
                <c:pt idx="2132">
                  <c:v>76.69</c:v>
                </c:pt>
                <c:pt idx="2133">
                  <c:v>79.03</c:v>
                </c:pt>
                <c:pt idx="2134">
                  <c:v>79.739999999999995</c:v>
                </c:pt>
                <c:pt idx="2135">
                  <c:v>80.62</c:v>
                </c:pt>
                <c:pt idx="2136">
                  <c:v>79.61</c:v>
                </c:pt>
                <c:pt idx="2137">
                  <c:v>80.59</c:v>
                </c:pt>
                <c:pt idx="2138">
                  <c:v>79.14</c:v>
                </c:pt>
                <c:pt idx="2139">
                  <c:v>77.33</c:v>
                </c:pt>
                <c:pt idx="2140">
                  <c:v>77.91</c:v>
                </c:pt>
                <c:pt idx="2141">
                  <c:v>76.680000000000007</c:v>
                </c:pt>
                <c:pt idx="2142">
                  <c:v>78.41</c:v>
                </c:pt>
                <c:pt idx="2143">
                  <c:v>79.08</c:v>
                </c:pt>
                <c:pt idx="2144">
                  <c:v>79.569999999999993</c:v>
                </c:pt>
                <c:pt idx="2145">
                  <c:v>79.47</c:v>
                </c:pt>
                <c:pt idx="2146">
                  <c:v>80.819999999999993</c:v>
                </c:pt>
                <c:pt idx="2147">
                  <c:v>78.459999999999994</c:v>
                </c:pt>
                <c:pt idx="2148">
                  <c:v>78.489999999999995</c:v>
                </c:pt>
                <c:pt idx="2149">
                  <c:v>73.84</c:v>
                </c:pt>
                <c:pt idx="2150">
                  <c:v>74.3</c:v>
                </c:pt>
                <c:pt idx="2151">
                  <c:v>74.459999999999994</c:v>
                </c:pt>
                <c:pt idx="2152">
                  <c:v>75.81</c:v>
                </c:pt>
                <c:pt idx="2153">
                  <c:v>76.25</c:v>
                </c:pt>
                <c:pt idx="2154">
                  <c:v>73.72</c:v>
                </c:pt>
                <c:pt idx="2155">
                  <c:v>71.56</c:v>
                </c:pt>
                <c:pt idx="2156">
                  <c:v>71.78</c:v>
                </c:pt>
                <c:pt idx="2157">
                  <c:v>71.44</c:v>
                </c:pt>
                <c:pt idx="2158">
                  <c:v>69.8</c:v>
                </c:pt>
                <c:pt idx="2159">
                  <c:v>69.92</c:v>
                </c:pt>
                <c:pt idx="2160">
                  <c:v>69.680000000000007</c:v>
                </c:pt>
                <c:pt idx="2161">
                  <c:v>72.02</c:v>
                </c:pt>
                <c:pt idx="2162">
                  <c:v>72.27</c:v>
                </c:pt>
                <c:pt idx="2163">
                  <c:v>72.53</c:v>
                </c:pt>
                <c:pt idx="2164">
                  <c:v>72.39</c:v>
                </c:pt>
                <c:pt idx="2165">
                  <c:v>72.36</c:v>
                </c:pt>
                <c:pt idx="2166">
                  <c:v>72.94</c:v>
                </c:pt>
                <c:pt idx="2167">
                  <c:v>71.84</c:v>
                </c:pt>
                <c:pt idx="2168">
                  <c:v>72.66</c:v>
                </c:pt>
                <c:pt idx="2169">
                  <c:v>72.69</c:v>
                </c:pt>
                <c:pt idx="2170">
                  <c:v>71.7</c:v>
                </c:pt>
                <c:pt idx="2171">
                  <c:v>72.16</c:v>
                </c:pt>
                <c:pt idx="2172">
                  <c:v>71.39</c:v>
                </c:pt>
                <c:pt idx="2173">
                  <c:v>71.290000000000006</c:v>
                </c:pt>
                <c:pt idx="2174">
                  <c:v>70.680000000000007</c:v>
                </c:pt>
                <c:pt idx="2175">
                  <c:v>70.2</c:v>
                </c:pt>
                <c:pt idx="2176">
                  <c:v>70.25</c:v>
                </c:pt>
                <c:pt idx="2177">
                  <c:v>68.239999999999995</c:v>
                </c:pt>
                <c:pt idx="2178">
                  <c:v>68.66</c:v>
                </c:pt>
                <c:pt idx="2179">
                  <c:v>71.2</c:v>
                </c:pt>
                <c:pt idx="2180">
                  <c:v>70.61</c:v>
                </c:pt>
                <c:pt idx="2181">
                  <c:v>70.319999999999993</c:v>
                </c:pt>
                <c:pt idx="2182">
                  <c:v>74.319999999999993</c:v>
                </c:pt>
                <c:pt idx="2183">
                  <c:v>74.349999999999994</c:v>
                </c:pt>
                <c:pt idx="2184">
                  <c:v>75.489999999999995</c:v>
                </c:pt>
                <c:pt idx="2185">
                  <c:v>73.48</c:v>
                </c:pt>
                <c:pt idx="2186">
                  <c:v>73.010000000000005</c:v>
                </c:pt>
                <c:pt idx="2187">
                  <c:v>72.95</c:v>
                </c:pt>
                <c:pt idx="2188">
                  <c:v>72.63</c:v>
                </c:pt>
                <c:pt idx="2189">
                  <c:v>71.61</c:v>
                </c:pt>
                <c:pt idx="2190">
                  <c:v>73.22</c:v>
                </c:pt>
                <c:pt idx="2191">
                  <c:v>73.319999999999993</c:v>
                </c:pt>
                <c:pt idx="2192">
                  <c:v>73.38</c:v>
                </c:pt>
                <c:pt idx="2193">
                  <c:v>73.260000000000005</c:v>
                </c:pt>
                <c:pt idx="2194">
                  <c:v>73.22</c:v>
                </c:pt>
                <c:pt idx="2195">
                  <c:v>73.12</c:v>
                </c:pt>
                <c:pt idx="2196">
                  <c:v>70.459999999999994</c:v>
                </c:pt>
                <c:pt idx="2197">
                  <c:v>70.599999999999994</c:v>
                </c:pt>
                <c:pt idx="2198">
                  <c:v>70.930000000000007</c:v>
                </c:pt>
                <c:pt idx="2199">
                  <c:v>70.25</c:v>
                </c:pt>
                <c:pt idx="2200">
                  <c:v>70.67</c:v>
                </c:pt>
                <c:pt idx="2201">
                  <c:v>71.010000000000005</c:v>
                </c:pt>
                <c:pt idx="2202">
                  <c:v>69.33</c:v>
                </c:pt>
                <c:pt idx="2203">
                  <c:v>69.67</c:v>
                </c:pt>
                <c:pt idx="2204">
                  <c:v>71.19</c:v>
                </c:pt>
                <c:pt idx="2205">
                  <c:v>72.42</c:v>
                </c:pt>
                <c:pt idx="2206">
                  <c:v>71.760000000000005</c:v>
                </c:pt>
                <c:pt idx="2207">
                  <c:v>71.42</c:v>
                </c:pt>
                <c:pt idx="2208">
                  <c:v>68.900000000000006</c:v>
                </c:pt>
                <c:pt idx="2209">
                  <c:v>67.77</c:v>
                </c:pt>
                <c:pt idx="2210">
                  <c:v>69.06</c:v>
                </c:pt>
                <c:pt idx="2211">
                  <c:v>69.16</c:v>
                </c:pt>
                <c:pt idx="2212">
                  <c:v>68.8</c:v>
                </c:pt>
                <c:pt idx="2213">
                  <c:v>66.62</c:v>
                </c:pt>
                <c:pt idx="2214">
                  <c:v>66.89</c:v>
                </c:pt>
                <c:pt idx="2215">
                  <c:v>66.86</c:v>
                </c:pt>
                <c:pt idx="2216">
                  <c:v>68.069999999999993</c:v>
                </c:pt>
                <c:pt idx="2217">
                  <c:v>68.56</c:v>
                </c:pt>
                <c:pt idx="2218">
                  <c:v>69</c:v>
                </c:pt>
                <c:pt idx="2219">
                  <c:v>69.099999999999994</c:v>
                </c:pt>
                <c:pt idx="2220">
                  <c:v>69.540000000000006</c:v>
                </c:pt>
                <c:pt idx="2221">
                  <c:v>69.290000000000006</c:v>
                </c:pt>
                <c:pt idx="2222">
                  <c:v>69.17</c:v>
                </c:pt>
                <c:pt idx="2223">
                  <c:v>69.290000000000006</c:v>
                </c:pt>
                <c:pt idx="2224">
                  <c:v>68.72</c:v>
                </c:pt>
                <c:pt idx="2225">
                  <c:v>67.64</c:v>
                </c:pt>
                <c:pt idx="2226">
                  <c:v>66.98</c:v>
                </c:pt>
                <c:pt idx="2227">
                  <c:v>67</c:v>
                </c:pt>
                <c:pt idx="2228">
                  <c:v>67.319999999999993</c:v>
                </c:pt>
                <c:pt idx="2229">
                  <c:v>67.37</c:v>
                </c:pt>
                <c:pt idx="2230">
                  <c:v>67.47</c:v>
                </c:pt>
                <c:pt idx="2231">
                  <c:v>65.930000000000007</c:v>
                </c:pt>
                <c:pt idx="2232">
                  <c:v>65</c:v>
                </c:pt>
                <c:pt idx="2233">
                  <c:v>65.86</c:v>
                </c:pt>
                <c:pt idx="2234">
                  <c:v>64.010000000000005</c:v>
                </c:pt>
                <c:pt idx="2235">
                  <c:v>65.02</c:v>
                </c:pt>
                <c:pt idx="2236">
                  <c:v>63</c:v>
                </c:pt>
                <c:pt idx="2237">
                  <c:v>63.32</c:v>
                </c:pt>
                <c:pt idx="2238">
                  <c:v>64.290000000000006</c:v>
                </c:pt>
                <c:pt idx="2239">
                  <c:v>65.95</c:v>
                </c:pt>
                <c:pt idx="2240">
                  <c:v>64.489999999999995</c:v>
                </c:pt>
                <c:pt idx="2241">
                  <c:v>66.41</c:v>
                </c:pt>
                <c:pt idx="2242">
                  <c:v>69.94</c:v>
                </c:pt>
                <c:pt idx="2243">
                  <c:v>70.489999999999995</c:v>
                </c:pt>
                <c:pt idx="2244">
                  <c:v>71.180000000000007</c:v>
                </c:pt>
                <c:pt idx="2245">
                  <c:v>70.86</c:v>
                </c:pt>
                <c:pt idx="2246">
                  <c:v>72.459999999999994</c:v>
                </c:pt>
                <c:pt idx="2247">
                  <c:v>71.72</c:v>
                </c:pt>
                <c:pt idx="2248">
                  <c:v>71.680000000000007</c:v>
                </c:pt>
                <c:pt idx="2249">
                  <c:v>72.13</c:v>
                </c:pt>
                <c:pt idx="2250">
                  <c:v>74.650000000000006</c:v>
                </c:pt>
                <c:pt idx="2251">
                  <c:v>74.63</c:v>
                </c:pt>
                <c:pt idx="2252">
                  <c:v>75.27</c:v>
                </c:pt>
                <c:pt idx="2253">
                  <c:v>78.08</c:v>
                </c:pt>
                <c:pt idx="2254">
                  <c:v>77.67</c:v>
                </c:pt>
                <c:pt idx="2255">
                  <c:v>77.5</c:v>
                </c:pt>
                <c:pt idx="2256">
                  <c:v>77.3</c:v>
                </c:pt>
                <c:pt idx="2257">
                  <c:v>78.95</c:v>
                </c:pt>
                <c:pt idx="2258">
                  <c:v>79.06</c:v>
                </c:pt>
                <c:pt idx="2259">
                  <c:v>77.95</c:v>
                </c:pt>
                <c:pt idx="2260">
                  <c:v>78.650000000000006</c:v>
                </c:pt>
                <c:pt idx="2261">
                  <c:v>77.84</c:v>
                </c:pt>
                <c:pt idx="2262">
                  <c:v>78.83</c:v>
                </c:pt>
                <c:pt idx="2263">
                  <c:v>78.39</c:v>
                </c:pt>
                <c:pt idx="2264">
                  <c:v>78.55</c:v>
                </c:pt>
                <c:pt idx="2265">
                  <c:v>78.069999999999993</c:v>
                </c:pt>
                <c:pt idx="2266">
                  <c:v>75.510000000000005</c:v>
                </c:pt>
                <c:pt idx="2267">
                  <c:v>75.55</c:v>
                </c:pt>
                <c:pt idx="2268">
                  <c:v>72.540000000000006</c:v>
                </c:pt>
                <c:pt idx="2269">
                  <c:v>74.84</c:v>
                </c:pt>
                <c:pt idx="2270">
                  <c:v>71.540000000000006</c:v>
                </c:pt>
                <c:pt idx="2271">
                  <c:v>67.8</c:v>
                </c:pt>
                <c:pt idx="2272">
                  <c:v>67.02</c:v>
                </c:pt>
                <c:pt idx="2273">
                  <c:v>66.790000000000006</c:v>
                </c:pt>
                <c:pt idx="2274">
                  <c:v>66.16</c:v>
                </c:pt>
                <c:pt idx="2275">
                  <c:v>65.650000000000006</c:v>
                </c:pt>
                <c:pt idx="2276">
                  <c:v>66.900000000000006</c:v>
                </c:pt>
                <c:pt idx="2277">
                  <c:v>67.02</c:v>
                </c:pt>
                <c:pt idx="2278">
                  <c:v>68.05</c:v>
                </c:pt>
                <c:pt idx="2279">
                  <c:v>68.34</c:v>
                </c:pt>
                <c:pt idx="2280">
                  <c:v>68.61</c:v>
                </c:pt>
                <c:pt idx="2281">
                  <c:v>68.03</c:v>
                </c:pt>
                <c:pt idx="2282">
                  <c:v>71.12</c:v>
                </c:pt>
                <c:pt idx="2283">
                  <c:v>70.97</c:v>
                </c:pt>
                <c:pt idx="2284">
                  <c:v>71.31</c:v>
                </c:pt>
                <c:pt idx="2285">
                  <c:v>70.94</c:v>
                </c:pt>
                <c:pt idx="2286">
                  <c:v>70.16</c:v>
                </c:pt>
                <c:pt idx="2287">
                  <c:v>71.03</c:v>
                </c:pt>
                <c:pt idx="2288">
                  <c:v>69.989999999999995</c:v>
                </c:pt>
                <c:pt idx="2289">
                  <c:v>69.540000000000006</c:v>
                </c:pt>
                <c:pt idx="2290">
                  <c:v>69.069999999999993</c:v>
                </c:pt>
                <c:pt idx="2291">
                  <c:v>68.48</c:v>
                </c:pt>
                <c:pt idx="2292">
                  <c:v>68.760000000000005</c:v>
                </c:pt>
                <c:pt idx="2293">
                  <c:v>70.2</c:v>
                </c:pt>
                <c:pt idx="2294">
                  <c:v>70.64</c:v>
                </c:pt>
                <c:pt idx="2295">
                  <c:v>71.33</c:v>
                </c:pt>
                <c:pt idx="2296">
                  <c:v>69.290000000000006</c:v>
                </c:pt>
                <c:pt idx="2297">
                  <c:v>68.599999999999994</c:v>
                </c:pt>
                <c:pt idx="2298">
                  <c:v>68.319999999999993</c:v>
                </c:pt>
                <c:pt idx="2299">
                  <c:v>68.05</c:v>
                </c:pt>
                <c:pt idx="2300">
                  <c:v>68.56</c:v>
                </c:pt>
                <c:pt idx="2301">
                  <c:v>69.08</c:v>
                </c:pt>
                <c:pt idx="2302">
                  <c:v>67.849999999999994</c:v>
                </c:pt>
                <c:pt idx="2303">
                  <c:v>68.25</c:v>
                </c:pt>
                <c:pt idx="2304">
                  <c:v>68.37</c:v>
                </c:pt>
                <c:pt idx="2305">
                  <c:v>67.64</c:v>
                </c:pt>
                <c:pt idx="2306">
                  <c:v>66.83</c:v>
                </c:pt>
                <c:pt idx="2307">
                  <c:v>66.53</c:v>
                </c:pt>
                <c:pt idx="2308">
                  <c:v>65.53</c:v>
                </c:pt>
                <c:pt idx="2309">
                  <c:v>67.58</c:v>
                </c:pt>
                <c:pt idx="2310">
                  <c:v>67.42</c:v>
                </c:pt>
                <c:pt idx="2311">
                  <c:v>68.22</c:v>
                </c:pt>
                <c:pt idx="2312">
                  <c:v>68.95</c:v>
                </c:pt>
                <c:pt idx="2313">
                  <c:v>67.849999999999994</c:v>
                </c:pt>
                <c:pt idx="2314">
                  <c:v>67.680000000000007</c:v>
                </c:pt>
                <c:pt idx="2315">
                  <c:v>67.11</c:v>
                </c:pt>
                <c:pt idx="2316">
                  <c:v>66.650000000000006</c:v>
                </c:pt>
                <c:pt idx="2317">
                  <c:v>66.400000000000006</c:v>
                </c:pt>
                <c:pt idx="2318">
                  <c:v>66.89</c:v>
                </c:pt>
                <c:pt idx="2319">
                  <c:v>66.42</c:v>
                </c:pt>
                <c:pt idx="2320">
                  <c:v>66.209999999999994</c:v>
                </c:pt>
                <c:pt idx="2321">
                  <c:v>66.11</c:v>
                </c:pt>
                <c:pt idx="2322">
                  <c:v>67.849999999999994</c:v>
                </c:pt>
                <c:pt idx="2323">
                  <c:v>66.099999999999994</c:v>
                </c:pt>
                <c:pt idx="2324">
                  <c:v>67.62</c:v>
                </c:pt>
                <c:pt idx="2325">
                  <c:v>66.19</c:v>
                </c:pt>
                <c:pt idx="2326">
                  <c:v>67.2</c:v>
                </c:pt>
                <c:pt idx="2327">
                  <c:v>67.55</c:v>
                </c:pt>
                <c:pt idx="2328">
                  <c:v>67.569999999999993</c:v>
                </c:pt>
                <c:pt idx="2329">
                  <c:v>67.12</c:v>
                </c:pt>
                <c:pt idx="2330">
                  <c:v>67.150000000000006</c:v>
                </c:pt>
                <c:pt idx="2331">
                  <c:v>67.17</c:v>
                </c:pt>
                <c:pt idx="2332">
                  <c:v>66.44</c:v>
                </c:pt>
                <c:pt idx="2333">
                  <c:v>66.53</c:v>
                </c:pt>
                <c:pt idx="2334">
                  <c:v>66.27</c:v>
                </c:pt>
                <c:pt idx="2335">
                  <c:v>66.28</c:v>
                </c:pt>
                <c:pt idx="2336">
                  <c:v>66.2</c:v>
                </c:pt>
                <c:pt idx="2337">
                  <c:v>64.75</c:v>
                </c:pt>
                <c:pt idx="2338">
                  <c:v>64.36</c:v>
                </c:pt>
                <c:pt idx="2339">
                  <c:v>63.96</c:v>
                </c:pt>
                <c:pt idx="2340">
                  <c:v>63.35</c:v>
                </c:pt>
                <c:pt idx="2341">
                  <c:v>64.55</c:v>
                </c:pt>
                <c:pt idx="2342">
                  <c:v>64.209999999999994</c:v>
                </c:pt>
                <c:pt idx="2343">
                  <c:v>64.290000000000006</c:v>
                </c:pt>
                <c:pt idx="2344">
                  <c:v>63.65</c:v>
                </c:pt>
                <c:pt idx="2345">
                  <c:v>63.34</c:v>
                </c:pt>
                <c:pt idx="2346">
                  <c:v>64.040000000000006</c:v>
                </c:pt>
                <c:pt idx="2347">
                  <c:v>62.5</c:v>
                </c:pt>
                <c:pt idx="2348">
                  <c:v>61.85</c:v>
                </c:pt>
                <c:pt idx="2349">
                  <c:v>61.02</c:v>
                </c:pt>
                <c:pt idx="2350">
                  <c:v>58.31</c:v>
                </c:pt>
                <c:pt idx="2351">
                  <c:v>59.17</c:v>
                </c:pt>
                <c:pt idx="2352">
                  <c:v>57.26</c:v>
                </c:pt>
                <c:pt idx="2353">
                  <c:v>58.57</c:v>
                </c:pt>
                <c:pt idx="2354">
                  <c:v>56.84</c:v>
                </c:pt>
                <c:pt idx="2355">
                  <c:v>56.8</c:v>
                </c:pt>
                <c:pt idx="2356">
                  <c:v>56.4</c:v>
                </c:pt>
                <c:pt idx="2357">
                  <c:v>54.37</c:v>
                </c:pt>
                <c:pt idx="2358">
                  <c:v>53.86</c:v>
                </c:pt>
                <c:pt idx="2359">
                  <c:v>53.36</c:v>
                </c:pt>
                <c:pt idx="2360">
                  <c:v>54.51</c:v>
                </c:pt>
                <c:pt idx="2361">
                  <c:v>52.9</c:v>
                </c:pt>
                <c:pt idx="2362">
                  <c:v>52.73</c:v>
                </c:pt>
                <c:pt idx="2363">
                  <c:v>53.61</c:v>
                </c:pt>
                <c:pt idx="2364">
                  <c:v>54.7</c:v>
                </c:pt>
                <c:pt idx="2365">
                  <c:v>55.54</c:v>
                </c:pt>
                <c:pt idx="2366">
                  <c:v>55.53</c:v>
                </c:pt>
                <c:pt idx="2367">
                  <c:v>55.1</c:v>
                </c:pt>
                <c:pt idx="2368">
                  <c:v>54.99</c:v>
                </c:pt>
                <c:pt idx="2369">
                  <c:v>54.74</c:v>
                </c:pt>
                <c:pt idx="2370">
                  <c:v>55.45</c:v>
                </c:pt>
                <c:pt idx="2371">
                  <c:v>54.69</c:v>
                </c:pt>
                <c:pt idx="2372">
                  <c:v>55.69</c:v>
                </c:pt>
                <c:pt idx="2373">
                  <c:v>53.59</c:v>
                </c:pt>
                <c:pt idx="2374">
                  <c:v>54.78</c:v>
                </c:pt>
                <c:pt idx="2375">
                  <c:v>54.79</c:v>
                </c:pt>
                <c:pt idx="2376">
                  <c:v>56.48</c:v>
                </c:pt>
                <c:pt idx="2377">
                  <c:v>57.81</c:v>
                </c:pt>
                <c:pt idx="2378">
                  <c:v>55.14</c:v>
                </c:pt>
                <c:pt idx="2379">
                  <c:v>54.06</c:v>
                </c:pt>
                <c:pt idx="2380">
                  <c:v>52.48</c:v>
                </c:pt>
                <c:pt idx="2381">
                  <c:v>50.54</c:v>
                </c:pt>
                <c:pt idx="2382">
                  <c:v>50.03</c:v>
                </c:pt>
                <c:pt idx="2383">
                  <c:v>53.41</c:v>
                </c:pt>
                <c:pt idx="2384">
                  <c:v>54.28</c:v>
                </c:pt>
                <c:pt idx="2385">
                  <c:v>54.86</c:v>
                </c:pt>
                <c:pt idx="2386">
                  <c:v>54.9</c:v>
                </c:pt>
                <c:pt idx="2387">
                  <c:v>54.61</c:v>
                </c:pt>
                <c:pt idx="2388">
                  <c:v>55.3</c:v>
                </c:pt>
                <c:pt idx="2389">
                  <c:v>54.95</c:v>
                </c:pt>
                <c:pt idx="2390">
                  <c:v>55.28</c:v>
                </c:pt>
                <c:pt idx="2391">
                  <c:v>55.55</c:v>
                </c:pt>
                <c:pt idx="2392">
                  <c:v>54.4</c:v>
                </c:pt>
                <c:pt idx="2393">
                  <c:v>54.3</c:v>
                </c:pt>
                <c:pt idx="2394">
                  <c:v>52.74</c:v>
                </c:pt>
                <c:pt idx="2395">
                  <c:v>53.52</c:v>
                </c:pt>
                <c:pt idx="2396">
                  <c:v>51.56</c:v>
                </c:pt>
                <c:pt idx="2397">
                  <c:v>51.78</c:v>
                </c:pt>
                <c:pt idx="2398">
                  <c:v>50.96</c:v>
                </c:pt>
                <c:pt idx="2399">
                  <c:v>50.47</c:v>
                </c:pt>
                <c:pt idx="2400">
                  <c:v>51.08</c:v>
                </c:pt>
                <c:pt idx="2401">
                  <c:v>56.74</c:v>
                </c:pt>
                <c:pt idx="2402">
                  <c:v>56.06</c:v>
                </c:pt>
                <c:pt idx="2403">
                  <c:v>56.01</c:v>
                </c:pt>
                <c:pt idx="2404">
                  <c:v>55.65</c:v>
                </c:pt>
                <c:pt idx="2405">
                  <c:v>54.18</c:v>
                </c:pt>
                <c:pt idx="2406">
                  <c:v>55.59</c:v>
                </c:pt>
                <c:pt idx="2407">
                  <c:v>56.65</c:v>
                </c:pt>
                <c:pt idx="2408">
                  <c:v>56.33</c:v>
                </c:pt>
                <c:pt idx="2409">
                  <c:v>57.29</c:v>
                </c:pt>
                <c:pt idx="2410">
                  <c:v>54.7</c:v>
                </c:pt>
                <c:pt idx="2411">
                  <c:v>54.88</c:v>
                </c:pt>
                <c:pt idx="2412">
                  <c:v>54.35</c:v>
                </c:pt>
                <c:pt idx="2413">
                  <c:v>53.59</c:v>
                </c:pt>
                <c:pt idx="2414">
                  <c:v>52.65</c:v>
                </c:pt>
                <c:pt idx="2415">
                  <c:v>53</c:v>
                </c:pt>
                <c:pt idx="2416">
                  <c:v>52.91</c:v>
                </c:pt>
                <c:pt idx="2417">
                  <c:v>55.21</c:v>
                </c:pt>
                <c:pt idx="2418">
                  <c:v>55.52</c:v>
                </c:pt>
                <c:pt idx="2419">
                  <c:v>56.02</c:v>
                </c:pt>
                <c:pt idx="2420">
                  <c:v>56.64</c:v>
                </c:pt>
                <c:pt idx="2421">
                  <c:v>55.34</c:v>
                </c:pt>
                <c:pt idx="2422">
                  <c:v>54.5</c:v>
                </c:pt>
                <c:pt idx="2423">
                  <c:v>54.25</c:v>
                </c:pt>
                <c:pt idx="2424">
                  <c:v>54.15</c:v>
                </c:pt>
                <c:pt idx="2425">
                  <c:v>55.74</c:v>
                </c:pt>
                <c:pt idx="2426">
                  <c:v>53.68</c:v>
                </c:pt>
                <c:pt idx="2427">
                  <c:v>54.62</c:v>
                </c:pt>
                <c:pt idx="2428">
                  <c:v>54.6</c:v>
                </c:pt>
                <c:pt idx="2429">
                  <c:v>53.99</c:v>
                </c:pt>
                <c:pt idx="2430">
                  <c:v>54.87</c:v>
                </c:pt>
                <c:pt idx="2431">
                  <c:v>56.52</c:v>
                </c:pt>
                <c:pt idx="2432">
                  <c:v>56.07</c:v>
                </c:pt>
                <c:pt idx="2433">
                  <c:v>54.75</c:v>
                </c:pt>
                <c:pt idx="2434">
                  <c:v>56.33</c:v>
                </c:pt>
                <c:pt idx="2435">
                  <c:v>55.76</c:v>
                </c:pt>
                <c:pt idx="2436">
                  <c:v>56.53</c:v>
                </c:pt>
                <c:pt idx="2437">
                  <c:v>55.11</c:v>
                </c:pt>
                <c:pt idx="2438">
                  <c:v>53.92</c:v>
                </c:pt>
                <c:pt idx="2439">
                  <c:v>53.76</c:v>
                </c:pt>
                <c:pt idx="2440">
                  <c:v>52.48</c:v>
                </c:pt>
                <c:pt idx="2441">
                  <c:v>55.43</c:v>
                </c:pt>
                <c:pt idx="2442">
                  <c:v>55.93</c:v>
                </c:pt>
                <c:pt idx="2443">
                  <c:v>56.02</c:v>
                </c:pt>
                <c:pt idx="2444">
                  <c:v>57.6</c:v>
                </c:pt>
                <c:pt idx="2445">
                  <c:v>57.75</c:v>
                </c:pt>
                <c:pt idx="2446">
                  <c:v>57.43</c:v>
                </c:pt>
                <c:pt idx="2447">
                  <c:v>57.69</c:v>
                </c:pt>
                <c:pt idx="2448">
                  <c:v>57.87</c:v>
                </c:pt>
                <c:pt idx="2449">
                  <c:v>57.62</c:v>
                </c:pt>
                <c:pt idx="2450">
                  <c:v>57.94</c:v>
                </c:pt>
                <c:pt idx="2451">
                  <c:v>57.31</c:v>
                </c:pt>
                <c:pt idx="2452">
                  <c:v>56.03</c:v>
                </c:pt>
                <c:pt idx="2453">
                  <c:v>55.98</c:v>
                </c:pt>
                <c:pt idx="2454">
                  <c:v>56.23</c:v>
                </c:pt>
                <c:pt idx="2455">
                  <c:v>55.2</c:v>
                </c:pt>
                <c:pt idx="2456">
                  <c:v>54.56</c:v>
                </c:pt>
                <c:pt idx="2457">
                  <c:v>55.28</c:v>
                </c:pt>
                <c:pt idx="2458">
                  <c:v>55.77</c:v>
                </c:pt>
                <c:pt idx="2459">
                  <c:v>54.59</c:v>
                </c:pt>
                <c:pt idx="2460">
                  <c:v>54.48</c:v>
                </c:pt>
                <c:pt idx="2461">
                  <c:v>54.14</c:v>
                </c:pt>
                <c:pt idx="2462">
                  <c:v>54.49</c:v>
                </c:pt>
                <c:pt idx="2463">
                  <c:v>54.3</c:v>
                </c:pt>
                <c:pt idx="2464">
                  <c:v>55.05</c:v>
                </c:pt>
                <c:pt idx="2465">
                  <c:v>53.41</c:v>
                </c:pt>
                <c:pt idx="2466">
                  <c:v>55.12</c:v>
                </c:pt>
                <c:pt idx="2467">
                  <c:v>61.45</c:v>
                </c:pt>
                <c:pt idx="2468">
                  <c:v>63.47</c:v>
                </c:pt>
                <c:pt idx="2469">
                  <c:v>63.23</c:v>
                </c:pt>
                <c:pt idx="2470">
                  <c:v>63.1</c:v>
                </c:pt>
                <c:pt idx="2471">
                  <c:v>63.01</c:v>
                </c:pt>
                <c:pt idx="2472">
                  <c:v>60.38</c:v>
                </c:pt>
                <c:pt idx="2473">
                  <c:v>60.62</c:v>
                </c:pt>
                <c:pt idx="2474">
                  <c:v>60.56</c:v>
                </c:pt>
                <c:pt idx="2475">
                  <c:v>60.1</c:v>
                </c:pt>
                <c:pt idx="2476">
                  <c:v>60.8</c:v>
                </c:pt>
                <c:pt idx="2477">
                  <c:v>60.4</c:v>
                </c:pt>
                <c:pt idx="2478">
                  <c:v>60.66</c:v>
                </c:pt>
                <c:pt idx="2479">
                  <c:v>59.42</c:v>
                </c:pt>
                <c:pt idx="2480">
                  <c:v>59.31</c:v>
                </c:pt>
                <c:pt idx="2481">
                  <c:v>56.67</c:v>
                </c:pt>
                <c:pt idx="2482">
                  <c:v>58</c:v>
                </c:pt>
                <c:pt idx="2483">
                  <c:v>57.73</c:v>
                </c:pt>
                <c:pt idx="2484">
                  <c:v>56.02</c:v>
                </c:pt>
                <c:pt idx="2485">
                  <c:v>54.37</c:v>
                </c:pt>
                <c:pt idx="2486">
                  <c:v>52.57</c:v>
                </c:pt>
                <c:pt idx="2487">
                  <c:v>51.82</c:v>
                </c:pt>
                <c:pt idx="2488">
                  <c:v>54.5</c:v>
                </c:pt>
                <c:pt idx="2489">
                  <c:v>55.26</c:v>
                </c:pt>
                <c:pt idx="2490">
                  <c:v>54.65</c:v>
                </c:pt>
                <c:pt idx="2491">
                  <c:v>52.75</c:v>
                </c:pt>
                <c:pt idx="2492">
                  <c:v>50.69</c:v>
                </c:pt>
                <c:pt idx="2493">
                  <c:v>54.94</c:v>
                </c:pt>
                <c:pt idx="2494">
                  <c:v>58.28</c:v>
                </c:pt>
                <c:pt idx="2495">
                  <c:v>55.64</c:v>
                </c:pt>
                <c:pt idx="2496">
                  <c:v>56.33</c:v>
                </c:pt>
                <c:pt idx="2497">
                  <c:v>55.98</c:v>
                </c:pt>
                <c:pt idx="2498">
                  <c:v>54.5</c:v>
                </c:pt>
                <c:pt idx="2499">
                  <c:v>54.81</c:v>
                </c:pt>
                <c:pt idx="2500">
                  <c:v>54.94</c:v>
                </c:pt>
                <c:pt idx="2501">
                  <c:v>54.43</c:v>
                </c:pt>
                <c:pt idx="2502">
                  <c:v>53.69</c:v>
                </c:pt>
                <c:pt idx="2503">
                  <c:v>54.03</c:v>
                </c:pt>
                <c:pt idx="2504">
                  <c:v>56.07</c:v>
                </c:pt>
                <c:pt idx="2505">
                  <c:v>56.04</c:v>
                </c:pt>
                <c:pt idx="2506">
                  <c:v>55.49</c:v>
                </c:pt>
                <c:pt idx="2507">
                  <c:v>54.81</c:v>
                </c:pt>
                <c:pt idx="2508">
                  <c:v>53.67</c:v>
                </c:pt>
                <c:pt idx="2509">
                  <c:v>53.49</c:v>
                </c:pt>
                <c:pt idx="2510">
                  <c:v>52.14</c:v>
                </c:pt>
                <c:pt idx="2511">
                  <c:v>50.97</c:v>
                </c:pt>
                <c:pt idx="2512">
                  <c:v>50.53</c:v>
                </c:pt>
                <c:pt idx="2513">
                  <c:v>50.53</c:v>
                </c:pt>
                <c:pt idx="2514">
                  <c:v>50.65</c:v>
                </c:pt>
                <c:pt idx="2515">
                  <c:v>50.98</c:v>
                </c:pt>
                <c:pt idx="2516">
                  <c:v>50.4</c:v>
                </c:pt>
                <c:pt idx="2517">
                  <c:v>49.4</c:v>
                </c:pt>
                <c:pt idx="2518">
                  <c:v>47.17</c:v>
                </c:pt>
                <c:pt idx="2519">
                  <c:v>47.22</c:v>
                </c:pt>
                <c:pt idx="2520">
                  <c:v>45.83</c:v>
                </c:pt>
                <c:pt idx="2521">
                  <c:v>45.56</c:v>
                </c:pt>
                <c:pt idx="2522">
                  <c:v>44.99</c:v>
                </c:pt>
                <c:pt idx="2523">
                  <c:v>45.18</c:v>
                </c:pt>
                <c:pt idx="2524">
                  <c:v>45.99</c:v>
                </c:pt>
                <c:pt idx="2525">
                  <c:v>46.64</c:v>
                </c:pt>
                <c:pt idx="2526">
                  <c:v>45.62</c:v>
                </c:pt>
                <c:pt idx="2527">
                  <c:v>46.11</c:v>
                </c:pt>
                <c:pt idx="2528">
                  <c:v>46.66</c:v>
                </c:pt>
                <c:pt idx="2529">
                  <c:v>44.51</c:v>
                </c:pt>
                <c:pt idx="2530">
                  <c:v>45.04</c:v>
                </c:pt>
                <c:pt idx="2531">
                  <c:v>44.71</c:v>
                </c:pt>
                <c:pt idx="2532">
                  <c:v>45.03</c:v>
                </c:pt>
                <c:pt idx="2533">
                  <c:v>45.83</c:v>
                </c:pt>
                <c:pt idx="2534">
                  <c:v>46.62</c:v>
                </c:pt>
                <c:pt idx="2535">
                  <c:v>46.3</c:v>
                </c:pt>
                <c:pt idx="2536">
                  <c:v>45.05</c:v>
                </c:pt>
                <c:pt idx="2537">
                  <c:v>45.7</c:v>
                </c:pt>
                <c:pt idx="2538">
                  <c:v>45.35</c:v>
                </c:pt>
                <c:pt idx="2539">
                  <c:v>45.94</c:v>
                </c:pt>
                <c:pt idx="2540">
                  <c:v>45.24</c:v>
                </c:pt>
                <c:pt idx="2541">
                  <c:v>47.16</c:v>
                </c:pt>
                <c:pt idx="2542">
                  <c:v>47.74</c:v>
                </c:pt>
                <c:pt idx="2543">
                  <c:v>49.63</c:v>
                </c:pt>
                <c:pt idx="2544">
                  <c:v>50.04</c:v>
                </c:pt>
                <c:pt idx="2545">
                  <c:v>47.68</c:v>
                </c:pt>
                <c:pt idx="2546">
                  <c:v>47.99</c:v>
                </c:pt>
                <c:pt idx="2547">
                  <c:v>49.24</c:v>
                </c:pt>
                <c:pt idx="2548">
                  <c:v>48.73</c:v>
                </c:pt>
                <c:pt idx="2549">
                  <c:v>50.5</c:v>
                </c:pt>
                <c:pt idx="2550">
                  <c:v>49.86</c:v>
                </c:pt>
                <c:pt idx="2551">
                  <c:v>50.62</c:v>
                </c:pt>
                <c:pt idx="2552">
                  <c:v>50.82</c:v>
                </c:pt>
                <c:pt idx="2553">
                  <c:v>50.41</c:v>
                </c:pt>
                <c:pt idx="2554">
                  <c:v>51.23</c:v>
                </c:pt>
                <c:pt idx="2555">
                  <c:v>50.58</c:v>
                </c:pt>
                <c:pt idx="2556">
                  <c:v>49.1</c:v>
                </c:pt>
                <c:pt idx="2557">
                  <c:v>49.24</c:v>
                </c:pt>
                <c:pt idx="2558">
                  <c:v>49.52</c:v>
                </c:pt>
                <c:pt idx="2559">
                  <c:v>51.75</c:v>
                </c:pt>
                <c:pt idx="2560">
                  <c:v>50.64</c:v>
                </c:pt>
                <c:pt idx="2561">
                  <c:v>50.69</c:v>
                </c:pt>
                <c:pt idx="2562">
                  <c:v>49.2</c:v>
                </c:pt>
                <c:pt idx="2563">
                  <c:v>48.99</c:v>
                </c:pt>
                <c:pt idx="2564">
                  <c:v>49.27</c:v>
                </c:pt>
                <c:pt idx="2565">
                  <c:v>48.73</c:v>
                </c:pt>
                <c:pt idx="2566">
                  <c:v>48.64</c:v>
                </c:pt>
                <c:pt idx="2567">
                  <c:v>47.4</c:v>
                </c:pt>
                <c:pt idx="2568">
                  <c:v>48.18</c:v>
                </c:pt>
                <c:pt idx="2569">
                  <c:v>47.09</c:v>
                </c:pt>
                <c:pt idx="2570">
                  <c:v>49.06</c:v>
                </c:pt>
                <c:pt idx="2571">
                  <c:v>49.9</c:v>
                </c:pt>
                <c:pt idx="2572">
                  <c:v>49.11</c:v>
                </c:pt>
                <c:pt idx="2573">
                  <c:v>47.65</c:v>
                </c:pt>
                <c:pt idx="2574">
                  <c:v>47.36</c:v>
                </c:pt>
                <c:pt idx="2575">
                  <c:v>45.08</c:v>
                </c:pt>
                <c:pt idx="2576">
                  <c:v>43.46</c:v>
                </c:pt>
                <c:pt idx="2577">
                  <c:v>42.67</c:v>
                </c:pt>
                <c:pt idx="2578">
                  <c:v>42.17</c:v>
                </c:pt>
                <c:pt idx="2579">
                  <c:v>41.49</c:v>
                </c:pt>
                <c:pt idx="2580">
                  <c:v>41.96</c:v>
                </c:pt>
                <c:pt idx="2581">
                  <c:v>41.85</c:v>
                </c:pt>
                <c:pt idx="2582">
                  <c:v>40.409999999999997</c:v>
                </c:pt>
                <c:pt idx="2583">
                  <c:v>41.59</c:v>
                </c:pt>
                <c:pt idx="2584">
                  <c:v>40.78</c:v>
                </c:pt>
                <c:pt idx="2585">
                  <c:v>37.549999999999997</c:v>
                </c:pt>
                <c:pt idx="2586">
                  <c:v>34.53</c:v>
                </c:pt>
                <c:pt idx="2587">
                  <c:v>35.36</c:v>
                </c:pt>
                <c:pt idx="2588">
                  <c:v>35.14</c:v>
                </c:pt>
                <c:pt idx="2589">
                  <c:v>36.42</c:v>
                </c:pt>
                <c:pt idx="2590">
                  <c:v>37.25</c:v>
                </c:pt>
                <c:pt idx="2591">
                  <c:v>38.78</c:v>
                </c:pt>
                <c:pt idx="2592">
                  <c:v>37.06</c:v>
                </c:pt>
                <c:pt idx="2593">
                  <c:v>37.15</c:v>
                </c:pt>
                <c:pt idx="2594">
                  <c:v>39.97</c:v>
                </c:pt>
                <c:pt idx="2595">
                  <c:v>39.6</c:v>
                </c:pt>
                <c:pt idx="2596">
                  <c:v>36.67</c:v>
                </c:pt>
                <c:pt idx="2597">
                  <c:v>37.020000000000003</c:v>
                </c:pt>
                <c:pt idx="2598">
                  <c:v>39.76</c:v>
                </c:pt>
                <c:pt idx="2599">
                  <c:v>39.76</c:v>
                </c:pt>
                <c:pt idx="2600">
                  <c:v>41.06</c:v>
                </c:pt>
                <c:pt idx="2601">
                  <c:v>37.840000000000003</c:v>
                </c:pt>
                <c:pt idx="2602">
                  <c:v>37.049999999999997</c:v>
                </c:pt>
                <c:pt idx="2603">
                  <c:v>36.29</c:v>
                </c:pt>
                <c:pt idx="2604">
                  <c:v>36.6</c:v>
                </c:pt>
                <c:pt idx="2605">
                  <c:v>39.42</c:v>
                </c:pt>
                <c:pt idx="2606">
                  <c:v>40.39</c:v>
                </c:pt>
                <c:pt idx="2607">
                  <c:v>44.78</c:v>
                </c:pt>
                <c:pt idx="2608">
                  <c:v>44.22</c:v>
                </c:pt>
                <c:pt idx="2609">
                  <c:v>44.49</c:v>
                </c:pt>
                <c:pt idx="2610">
                  <c:v>45.64</c:v>
                </c:pt>
                <c:pt idx="2611">
                  <c:v>44.62</c:v>
                </c:pt>
                <c:pt idx="2612">
                  <c:v>47.53</c:v>
                </c:pt>
                <c:pt idx="2613">
                  <c:v>50.72</c:v>
                </c:pt>
                <c:pt idx="2614">
                  <c:v>50.9</c:v>
                </c:pt>
                <c:pt idx="2615">
                  <c:v>51.66</c:v>
                </c:pt>
                <c:pt idx="2616">
                  <c:v>52.99</c:v>
                </c:pt>
                <c:pt idx="2617">
                  <c:v>52.89</c:v>
                </c:pt>
                <c:pt idx="2618">
                  <c:v>54.21</c:v>
                </c:pt>
                <c:pt idx="2619">
                  <c:v>54.41</c:v>
                </c:pt>
                <c:pt idx="2620">
                  <c:v>52.41</c:v>
                </c:pt>
                <c:pt idx="2621">
                  <c:v>53.35</c:v>
                </c:pt>
                <c:pt idx="2622">
                  <c:v>51.63</c:v>
                </c:pt>
                <c:pt idx="2623">
                  <c:v>52.75</c:v>
                </c:pt>
                <c:pt idx="2624">
                  <c:v>53.23</c:v>
                </c:pt>
                <c:pt idx="2625">
                  <c:v>51.69</c:v>
                </c:pt>
                <c:pt idx="2626">
                  <c:v>52.48</c:v>
                </c:pt>
                <c:pt idx="2627">
                  <c:v>56.19</c:v>
                </c:pt>
                <c:pt idx="2628">
                  <c:v>57.5</c:v>
                </c:pt>
                <c:pt idx="2629">
                  <c:v>56.15</c:v>
                </c:pt>
                <c:pt idx="2630">
                  <c:v>57.28</c:v>
                </c:pt>
                <c:pt idx="2631">
                  <c:v>57.63</c:v>
                </c:pt>
                <c:pt idx="2632">
                  <c:v>59.54</c:v>
                </c:pt>
                <c:pt idx="2633">
                  <c:v>58.09</c:v>
                </c:pt>
                <c:pt idx="2634">
                  <c:v>58.48</c:v>
                </c:pt>
                <c:pt idx="2635">
                  <c:v>58.04</c:v>
                </c:pt>
                <c:pt idx="2636">
                  <c:v>58.07</c:v>
                </c:pt>
                <c:pt idx="2637">
                  <c:v>57.51</c:v>
                </c:pt>
                <c:pt idx="2638">
                  <c:v>57.34</c:v>
                </c:pt>
                <c:pt idx="2639">
                  <c:v>55.75</c:v>
                </c:pt>
                <c:pt idx="2640">
                  <c:v>54.85</c:v>
                </c:pt>
                <c:pt idx="2641">
                  <c:v>54.78</c:v>
                </c:pt>
                <c:pt idx="2642">
                  <c:v>55.77</c:v>
                </c:pt>
                <c:pt idx="2643">
                  <c:v>56.34</c:v>
                </c:pt>
                <c:pt idx="2644">
                  <c:v>54.74</c:v>
                </c:pt>
                <c:pt idx="2645">
                  <c:v>51.84</c:v>
                </c:pt>
                <c:pt idx="2646">
                  <c:v>51</c:v>
                </c:pt>
                <c:pt idx="2647">
                  <c:v>50.97</c:v>
                </c:pt>
                <c:pt idx="2648">
                  <c:v>52.2</c:v>
                </c:pt>
                <c:pt idx="2649">
                  <c:v>52.29</c:v>
                </c:pt>
                <c:pt idx="2650">
                  <c:v>54.09</c:v>
                </c:pt>
                <c:pt idx="2651">
                  <c:v>55.55</c:v>
                </c:pt>
                <c:pt idx="2652">
                  <c:v>45.08</c:v>
                </c:pt>
                <c:pt idx="2653">
                  <c:v>46.57</c:v>
                </c:pt>
                <c:pt idx="2654">
                  <c:v>45.71</c:v>
                </c:pt>
                <c:pt idx="2655">
                  <c:v>45.27</c:v>
                </c:pt>
                <c:pt idx="2656">
                  <c:v>43.93</c:v>
                </c:pt>
                <c:pt idx="2657">
                  <c:v>43.81</c:v>
                </c:pt>
                <c:pt idx="2658">
                  <c:v>45.17</c:v>
                </c:pt>
                <c:pt idx="2659">
                  <c:v>45.89</c:v>
                </c:pt>
                <c:pt idx="2660">
                  <c:v>46.76</c:v>
                </c:pt>
                <c:pt idx="2661">
                  <c:v>51.5</c:v>
                </c:pt>
                <c:pt idx="2662">
                  <c:v>49.55</c:v>
                </c:pt>
                <c:pt idx="2663">
                  <c:v>48.5</c:v>
                </c:pt>
                <c:pt idx="2664">
                  <c:v>48.2</c:v>
                </c:pt>
                <c:pt idx="2665">
                  <c:v>46.85</c:v>
                </c:pt>
                <c:pt idx="2666">
                  <c:v>47.32</c:v>
                </c:pt>
                <c:pt idx="2667">
                  <c:v>48.31</c:v>
                </c:pt>
                <c:pt idx="2668">
                  <c:v>46.5</c:v>
                </c:pt>
                <c:pt idx="2669">
                  <c:v>44.14</c:v>
                </c:pt>
                <c:pt idx="2670">
                  <c:v>46.43</c:v>
                </c:pt>
                <c:pt idx="2671">
                  <c:v>45.66</c:v>
                </c:pt>
                <c:pt idx="2672">
                  <c:v>45.26</c:v>
                </c:pt>
                <c:pt idx="2673">
                  <c:v>45.55</c:v>
                </c:pt>
                <c:pt idx="2674">
                  <c:v>44.28</c:v>
                </c:pt>
                <c:pt idx="2675">
                  <c:v>44.77</c:v>
                </c:pt>
                <c:pt idx="2676">
                  <c:v>44.96</c:v>
                </c:pt>
                <c:pt idx="2677">
                  <c:v>43.63</c:v>
                </c:pt>
                <c:pt idx="2678">
                  <c:v>45.05</c:v>
                </c:pt>
                <c:pt idx="2679">
                  <c:v>43.57</c:v>
                </c:pt>
                <c:pt idx="2680">
                  <c:v>43.25</c:v>
                </c:pt>
                <c:pt idx="2681">
                  <c:v>47.68</c:v>
                </c:pt>
                <c:pt idx="2682">
                  <c:v>46.77</c:v>
                </c:pt>
                <c:pt idx="2683">
                  <c:v>48.06</c:v>
                </c:pt>
                <c:pt idx="2684">
                  <c:v>47.37</c:v>
                </c:pt>
                <c:pt idx="2685">
                  <c:v>49.9</c:v>
                </c:pt>
                <c:pt idx="2686">
                  <c:v>50.73</c:v>
                </c:pt>
                <c:pt idx="2687">
                  <c:v>51.39</c:v>
                </c:pt>
                <c:pt idx="2688">
                  <c:v>51.74</c:v>
                </c:pt>
                <c:pt idx="2689">
                  <c:v>52.73</c:v>
                </c:pt>
                <c:pt idx="2690">
                  <c:v>53.49</c:v>
                </c:pt>
                <c:pt idx="2691">
                  <c:v>53.52</c:v>
                </c:pt>
                <c:pt idx="2692">
                  <c:v>53.98</c:v>
                </c:pt>
                <c:pt idx="2693">
                  <c:v>56.55</c:v>
                </c:pt>
                <c:pt idx="2694">
                  <c:v>58.19</c:v>
                </c:pt>
                <c:pt idx="2695">
                  <c:v>55.79</c:v>
                </c:pt>
                <c:pt idx="2696">
                  <c:v>56.57</c:v>
                </c:pt>
                <c:pt idx="2697">
                  <c:v>54.82</c:v>
                </c:pt>
                <c:pt idx="2698">
                  <c:v>53.45</c:v>
                </c:pt>
                <c:pt idx="2699">
                  <c:v>55.51</c:v>
                </c:pt>
                <c:pt idx="2700">
                  <c:v>55.79</c:v>
                </c:pt>
                <c:pt idx="2701">
                  <c:v>54.74</c:v>
                </c:pt>
                <c:pt idx="2702">
                  <c:v>52.75</c:v>
                </c:pt>
                <c:pt idx="2703">
                  <c:v>49.81</c:v>
                </c:pt>
                <c:pt idx="2704">
                  <c:v>48.5</c:v>
                </c:pt>
                <c:pt idx="2705">
                  <c:v>49.99</c:v>
                </c:pt>
                <c:pt idx="2706">
                  <c:v>52.36</c:v>
                </c:pt>
                <c:pt idx="2707">
                  <c:v>55.59</c:v>
                </c:pt>
                <c:pt idx="2708">
                  <c:v>55.93</c:v>
                </c:pt>
                <c:pt idx="2709">
                  <c:v>58.28</c:v>
                </c:pt>
                <c:pt idx="2710">
                  <c:v>58.24</c:v>
                </c:pt>
                <c:pt idx="2711">
                  <c:v>58.32</c:v>
                </c:pt>
                <c:pt idx="2712">
                  <c:v>56.96</c:v>
                </c:pt>
                <c:pt idx="2713">
                  <c:v>53.86</c:v>
                </c:pt>
                <c:pt idx="2714">
                  <c:v>54.53</c:v>
                </c:pt>
                <c:pt idx="2715">
                  <c:v>52.2</c:v>
                </c:pt>
                <c:pt idx="2716">
                  <c:v>51.83</c:v>
                </c:pt>
                <c:pt idx="2717">
                  <c:v>54.83</c:v>
                </c:pt>
                <c:pt idx="2718">
                  <c:v>55.06</c:v>
                </c:pt>
                <c:pt idx="2719">
                  <c:v>57.52</c:v>
                </c:pt>
                <c:pt idx="2720">
                  <c:v>57.95</c:v>
                </c:pt>
                <c:pt idx="2721">
                  <c:v>60.49</c:v>
                </c:pt>
                <c:pt idx="2722">
                  <c:v>70.47</c:v>
                </c:pt>
                <c:pt idx="2723">
                  <c:v>70.75</c:v>
                </c:pt>
                <c:pt idx="2724">
                  <c:v>69.94</c:v>
                </c:pt>
                <c:pt idx="2725">
                  <c:v>72.28</c:v>
                </c:pt>
                <c:pt idx="2726">
                  <c:v>75.239999999999995</c:v>
                </c:pt>
                <c:pt idx="2727">
                  <c:v>74.17</c:v>
                </c:pt>
                <c:pt idx="2728">
                  <c:v>77.45</c:v>
                </c:pt>
                <c:pt idx="2729">
                  <c:v>76.7</c:v>
                </c:pt>
                <c:pt idx="2730">
                  <c:v>78.86</c:v>
                </c:pt>
                <c:pt idx="2731">
                  <c:v>80.239999999999995</c:v>
                </c:pt>
                <c:pt idx="2732">
                  <c:v>77.88</c:v>
                </c:pt>
                <c:pt idx="2733">
                  <c:v>77.959999999999994</c:v>
                </c:pt>
                <c:pt idx="2734">
                  <c:v>76.61</c:v>
                </c:pt>
                <c:pt idx="2735">
                  <c:v>76.16</c:v>
                </c:pt>
                <c:pt idx="2736">
                  <c:v>74.63</c:v>
                </c:pt>
                <c:pt idx="2737">
                  <c:v>74.680000000000007</c:v>
                </c:pt>
                <c:pt idx="2738">
                  <c:v>79.95</c:v>
                </c:pt>
                <c:pt idx="2739">
                  <c:v>79.989999999999995</c:v>
                </c:pt>
                <c:pt idx="2740">
                  <c:v>81.36</c:v>
                </c:pt>
                <c:pt idx="2741">
                  <c:v>80.36</c:v>
                </c:pt>
                <c:pt idx="2742">
                  <c:v>80.27</c:v>
                </c:pt>
                <c:pt idx="2743">
                  <c:v>79.06</c:v>
                </c:pt>
                <c:pt idx="2744">
                  <c:v>80.41</c:v>
                </c:pt>
                <c:pt idx="2745">
                  <c:v>84.98</c:v>
                </c:pt>
                <c:pt idx="2746">
                  <c:v>84.59</c:v>
                </c:pt>
                <c:pt idx="2747">
                  <c:v>85.31</c:v>
                </c:pt>
                <c:pt idx="2748">
                  <c:v>87.81</c:v>
                </c:pt>
                <c:pt idx="2749">
                  <c:v>85.25</c:v>
                </c:pt>
                <c:pt idx="2750">
                  <c:v>84.65</c:v>
                </c:pt>
                <c:pt idx="2751">
                  <c:v>84.56</c:v>
                </c:pt>
                <c:pt idx="2752">
                  <c:v>84.75</c:v>
                </c:pt>
                <c:pt idx="2753">
                  <c:v>82.18</c:v>
                </c:pt>
                <c:pt idx="2754">
                  <c:v>83.51</c:v>
                </c:pt>
                <c:pt idx="2755">
                  <c:v>82</c:v>
                </c:pt>
                <c:pt idx="2756">
                  <c:v>82.5</c:v>
                </c:pt>
                <c:pt idx="2757">
                  <c:v>80.05</c:v>
                </c:pt>
                <c:pt idx="2758">
                  <c:v>80.239999999999995</c:v>
                </c:pt>
                <c:pt idx="2759">
                  <c:v>83.7</c:v>
                </c:pt>
                <c:pt idx="2760">
                  <c:v>81.319999999999993</c:v>
                </c:pt>
                <c:pt idx="2761">
                  <c:v>81.55</c:v>
                </c:pt>
                <c:pt idx="2762">
                  <c:v>80.86</c:v>
                </c:pt>
                <c:pt idx="2763">
                  <c:v>80.94</c:v>
                </c:pt>
                <c:pt idx="2764">
                  <c:v>82.15</c:v>
                </c:pt>
                <c:pt idx="2765">
                  <c:v>82.3</c:v>
                </c:pt>
                <c:pt idx="2766">
                  <c:v>86.4</c:v>
                </c:pt>
                <c:pt idx="2767">
                  <c:v>82.46</c:v>
                </c:pt>
                <c:pt idx="2768">
                  <c:v>84.03</c:v>
                </c:pt>
                <c:pt idx="2769">
                  <c:v>81.260000000000005</c:v>
                </c:pt>
                <c:pt idx="2770">
                  <c:v>81.150000000000006</c:v>
                </c:pt>
                <c:pt idx="2771">
                  <c:v>80.099999999999994</c:v>
                </c:pt>
                <c:pt idx="2772">
                  <c:v>80.3</c:v>
                </c:pt>
                <c:pt idx="2773">
                  <c:v>76.540000000000006</c:v>
                </c:pt>
                <c:pt idx="2774">
                  <c:v>76.98</c:v>
                </c:pt>
                <c:pt idx="2775">
                  <c:v>74.959999999999994</c:v>
                </c:pt>
                <c:pt idx="2776">
                  <c:v>74.75</c:v>
                </c:pt>
                <c:pt idx="2777">
                  <c:v>74.56</c:v>
                </c:pt>
                <c:pt idx="2778">
                  <c:v>76.56</c:v>
                </c:pt>
                <c:pt idx="2779">
                  <c:v>75.56</c:v>
                </c:pt>
                <c:pt idx="2780">
                  <c:v>69.06</c:v>
                </c:pt>
                <c:pt idx="2781">
                  <c:v>67.069999999999993</c:v>
                </c:pt>
                <c:pt idx="2782">
                  <c:v>68.989999999999995</c:v>
                </c:pt>
                <c:pt idx="2783">
                  <c:v>69.599999999999994</c:v>
                </c:pt>
                <c:pt idx="2784">
                  <c:v>65.91</c:v>
                </c:pt>
                <c:pt idx="2785">
                  <c:v>68.650000000000006</c:v>
                </c:pt>
                <c:pt idx="2786">
                  <c:v>67.86</c:v>
                </c:pt>
                <c:pt idx="2787">
                  <c:v>69.37</c:v>
                </c:pt>
                <c:pt idx="2788">
                  <c:v>70.12</c:v>
                </c:pt>
                <c:pt idx="2789">
                  <c:v>73.27</c:v>
                </c:pt>
                <c:pt idx="2790">
                  <c:v>74.48</c:v>
                </c:pt>
                <c:pt idx="2791">
                  <c:v>74.069999999999993</c:v>
                </c:pt>
                <c:pt idx="2792">
                  <c:v>72.010000000000005</c:v>
                </c:pt>
                <c:pt idx="2793">
                  <c:v>70.069999999999993</c:v>
                </c:pt>
                <c:pt idx="2794">
                  <c:v>71.459999999999994</c:v>
                </c:pt>
                <c:pt idx="2795">
                  <c:v>70.91</c:v>
                </c:pt>
                <c:pt idx="2796">
                  <c:v>70.5</c:v>
                </c:pt>
                <c:pt idx="2797">
                  <c:v>72.63</c:v>
                </c:pt>
                <c:pt idx="2798">
                  <c:v>73.58</c:v>
                </c:pt>
                <c:pt idx="2799">
                  <c:v>74.63</c:v>
                </c:pt>
                <c:pt idx="2800">
                  <c:v>72.84</c:v>
                </c:pt>
                <c:pt idx="2801">
                  <c:v>73.23</c:v>
                </c:pt>
                <c:pt idx="2802">
                  <c:v>76.510000000000005</c:v>
                </c:pt>
                <c:pt idx="2803">
                  <c:v>77.790000000000006</c:v>
                </c:pt>
                <c:pt idx="2804">
                  <c:v>78.8</c:v>
                </c:pt>
                <c:pt idx="2805">
                  <c:v>79.7</c:v>
                </c:pt>
                <c:pt idx="2806">
                  <c:v>81.400000000000006</c:v>
                </c:pt>
                <c:pt idx="2807">
                  <c:v>79.28</c:v>
                </c:pt>
                <c:pt idx="2808">
                  <c:v>77.19</c:v>
                </c:pt>
                <c:pt idx="2809">
                  <c:v>77.13</c:v>
                </c:pt>
                <c:pt idx="2810">
                  <c:v>83.21</c:v>
                </c:pt>
                <c:pt idx="2811">
                  <c:v>84.09</c:v>
                </c:pt>
                <c:pt idx="2812">
                  <c:v>80.8</c:v>
                </c:pt>
                <c:pt idx="2813">
                  <c:v>80.38</c:v>
                </c:pt>
                <c:pt idx="2814">
                  <c:v>79.959999999999994</c:v>
                </c:pt>
                <c:pt idx="2815">
                  <c:v>77.709999999999994</c:v>
                </c:pt>
                <c:pt idx="2816">
                  <c:v>76.33</c:v>
                </c:pt>
                <c:pt idx="2817">
                  <c:v>72.569999999999993</c:v>
                </c:pt>
                <c:pt idx="2818">
                  <c:v>73.42</c:v>
                </c:pt>
                <c:pt idx="2819">
                  <c:v>72.95</c:v>
                </c:pt>
                <c:pt idx="2820">
                  <c:v>72.150000000000006</c:v>
                </c:pt>
                <c:pt idx="2821">
                  <c:v>74.83</c:v>
                </c:pt>
                <c:pt idx="2822">
                  <c:v>72.98</c:v>
                </c:pt>
                <c:pt idx="2823">
                  <c:v>74.510000000000005</c:v>
                </c:pt>
                <c:pt idx="2824">
                  <c:v>72.02</c:v>
                </c:pt>
                <c:pt idx="2825">
                  <c:v>70.84</c:v>
                </c:pt>
                <c:pt idx="2826">
                  <c:v>69.349999999999994</c:v>
                </c:pt>
                <c:pt idx="2827">
                  <c:v>69.400000000000006</c:v>
                </c:pt>
                <c:pt idx="2828">
                  <c:v>71.53</c:v>
                </c:pt>
                <c:pt idx="2829">
                  <c:v>67.209999999999994</c:v>
                </c:pt>
                <c:pt idx="2830">
                  <c:v>69.34</c:v>
                </c:pt>
                <c:pt idx="2831">
                  <c:v>65.05</c:v>
                </c:pt>
                <c:pt idx="2832">
                  <c:v>65.17</c:v>
                </c:pt>
                <c:pt idx="2833">
                  <c:v>65.3</c:v>
                </c:pt>
                <c:pt idx="2834">
                  <c:v>67.540000000000006</c:v>
                </c:pt>
                <c:pt idx="2835">
                  <c:v>69.44</c:v>
                </c:pt>
                <c:pt idx="2836">
                  <c:v>70.03</c:v>
                </c:pt>
                <c:pt idx="2837">
                  <c:v>66.2</c:v>
                </c:pt>
                <c:pt idx="2838">
                  <c:v>64.75</c:v>
                </c:pt>
                <c:pt idx="2839">
                  <c:v>65.02</c:v>
                </c:pt>
                <c:pt idx="2840">
                  <c:v>63.74</c:v>
                </c:pt>
                <c:pt idx="2841">
                  <c:v>65.89</c:v>
                </c:pt>
                <c:pt idx="2842">
                  <c:v>67.39</c:v>
                </c:pt>
                <c:pt idx="2843">
                  <c:v>68.33</c:v>
                </c:pt>
                <c:pt idx="2844">
                  <c:v>68.52</c:v>
                </c:pt>
                <c:pt idx="2845">
                  <c:v>68.72</c:v>
                </c:pt>
                <c:pt idx="2846">
                  <c:v>73.87</c:v>
                </c:pt>
                <c:pt idx="2847">
                  <c:v>75.760000000000005</c:v>
                </c:pt>
                <c:pt idx="2848">
                  <c:v>75.5</c:v>
                </c:pt>
                <c:pt idx="2849">
                  <c:v>73.75</c:v>
                </c:pt>
                <c:pt idx="2850">
                  <c:v>73.150000000000006</c:v>
                </c:pt>
                <c:pt idx="2851">
                  <c:v>73.37</c:v>
                </c:pt>
                <c:pt idx="2852">
                  <c:v>70.61</c:v>
                </c:pt>
                <c:pt idx="2853">
                  <c:v>68.84</c:v>
                </c:pt>
                <c:pt idx="2854">
                  <c:v>67.959999999999994</c:v>
                </c:pt>
                <c:pt idx="2855">
                  <c:v>65.81</c:v>
                </c:pt>
                <c:pt idx="2856">
                  <c:v>64.39</c:v>
                </c:pt>
                <c:pt idx="2857">
                  <c:v>64.59</c:v>
                </c:pt>
                <c:pt idx="2858">
                  <c:v>65.02</c:v>
                </c:pt>
                <c:pt idx="2859">
                  <c:v>65.52</c:v>
                </c:pt>
                <c:pt idx="2860">
                  <c:v>67.11</c:v>
                </c:pt>
                <c:pt idx="2861">
                  <c:v>67.69</c:v>
                </c:pt>
                <c:pt idx="2862">
                  <c:v>66.650000000000006</c:v>
                </c:pt>
                <c:pt idx="2863">
                  <c:v>64.67</c:v>
                </c:pt>
                <c:pt idx="2864">
                  <c:v>67.63</c:v>
                </c:pt>
                <c:pt idx="2865">
                  <c:v>70.400000000000006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68-7247-A74C-493C6D846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006191"/>
        <c:axId val="1554669471"/>
      </c:lineChart>
      <c:dateAx>
        <c:axId val="141100619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669471"/>
        <c:crosses val="autoZero"/>
        <c:auto val="1"/>
        <c:lblOffset val="100"/>
        <c:baseTimeUnit val="days"/>
      </c:dateAx>
      <c:valAx>
        <c:axId val="155466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00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4</xdr:row>
      <xdr:rowOff>50800</xdr:rowOff>
    </xdr:from>
    <xdr:to>
      <xdr:col>16</xdr:col>
      <xdr:colOff>393700</xdr:colOff>
      <xdr:row>30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25C0F4-5909-7ACB-E12D-81520F24C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ran, Solomon R" id="{27D62A14-0763-304E-9A55-01400441277E}" userId="S::srbaran@CougarNet.UH.EDU::1972e8f2-88f1-4d60-a330-d745d694dcf7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4" dT="2026-05-22T04:01:53.05" personId="{27D62A14-0763-304E-9A55-01400441277E}" id="{F5538A52-F2B7-6944-8287-78F24BB635D3}">
    <text>Assumption Growth 6%</text>
  </threadedComment>
  <threadedComment ref="W5" dT="2026-05-22T04:02:28.45" personId="{27D62A14-0763-304E-9A55-01400441277E}" id="{89A3C80D-ADC8-A543-A5F6-D25D15A6B2D7}">
    <text>Assumption COGS 55% of revenue</text>
  </threadedComment>
  <threadedComment ref="W9" dT="2026-05-22T04:03:06.39" personId="{27D62A14-0763-304E-9A55-01400441277E}" id="{85E7F872-4502-6B49-8B79-4AB544110BCC}">
    <text>Locked R&amp;D at 19%</text>
  </threadedComment>
  <threadedComment ref="W10" dT="2026-05-22T04:03:34.01" personId="{27D62A14-0763-304E-9A55-01400441277E}" id="{B4187B4A-39F2-9D48-A06F-6F0F3F16B7E4}">
    <text>Assumption SG&amp;A was between 9 and 10%</text>
  </threadedComment>
  <threadedComment ref="W12" dT="2026-05-22T04:04:23.97" personId="{27D62A14-0763-304E-9A55-01400441277E}" id="{CDEE238A-902D-2344-9AE6-E91BC4A66475}">
    <text>Assumption of other expense 5%</text>
  </threadedComment>
  <threadedComment ref="W16" dT="2026-05-22T04:04:58.09" personId="{27D62A14-0763-304E-9A55-01400441277E}" id="{8F105F78-7487-BD45-A2E9-4F44B1DA9E45}">
    <text xml:space="preserve">1% interest growth assumption
</text>
  </threadedComment>
  <threadedComment ref="W20" dT="2026-05-22T04:05:34.32" personId="{27D62A14-0763-304E-9A55-01400441277E}" id="{3D0ABB60-9EB8-DD42-95FA-FE21736F9931}">
    <text>Other expense income growth assumption 2%</text>
  </threadedComment>
  <threadedComment ref="W23" dT="2026-05-22T04:05:58.11" personId="{27D62A14-0763-304E-9A55-01400441277E}" id="{7371F498-C867-EC44-968E-2429CF682E05}">
    <text xml:space="preserve">22% tax assumption </text>
  </threadedComment>
  <threadedComment ref="W34" dT="2026-05-22T04:06:37.43" personId="{27D62A14-0763-304E-9A55-01400441277E}" id="{5FC2774F-5DAF-E940-A6F5-88A2F5BF38DC}">
    <text>3% product line growth assumption</text>
  </threadedComment>
  <threadedComment ref="W35" dT="2026-05-22T04:07:09.40" personId="{27D62A14-0763-304E-9A55-01400441277E}" id="{CEF891B0-386D-5B47-A77C-EC5665C29A04}">
    <text>2% product decrease assumption</text>
  </threadedComment>
  <threadedComment ref="W36" dT="2026-05-22T04:07:33.93" personId="{27D62A14-0763-304E-9A55-01400441277E}" id="{F85ACE0A-7A74-974E-BDCA-820246735671}">
    <text>7% product growth assumption</text>
  </threadedComment>
  <threadedComment ref="W78" dT="2026-05-22T04:13:28.46" personId="{27D62A14-0763-304E-9A55-01400441277E}" id="{72E4A411-9A14-1F4C-9783-7D7858715259}">
    <text xml:space="preserve">2% growth assumption
</text>
  </threadedComment>
  <threadedComment ref="W79" dT="2026-05-22T04:13:42.83" personId="{27D62A14-0763-304E-9A55-01400441277E}" id="{712074E0-2FAE-1B49-A382-A3F64FBFE37F}">
    <text>1% growth assumption</text>
  </threadedComment>
  <threadedComment ref="W80" dT="2026-05-22T04:13:59.72" personId="{27D62A14-0763-304E-9A55-01400441277E}" id="{2F6F24D2-4726-6A4D-8A44-B877B063740A}">
    <text>1% decrease assumption</text>
  </threadedComment>
  <threadedComment ref="W81" dT="2026-05-22T04:14:22.12" personId="{27D62A14-0763-304E-9A55-01400441277E}" id="{A2B1AA45-AE1A-234D-AFD1-2AD3E6A2595D}">
    <text>10% decrease assumption</text>
  </threadedComment>
  <threadedComment ref="W83" dT="2026-05-22T04:14:39.14" personId="{27D62A14-0763-304E-9A55-01400441277E}" id="{DABE69B3-0D09-7645-9D79-E5F78AB580FA}">
    <text>5% decrease assumption</text>
  </threadedComment>
  <threadedComment ref="W84" dT="2026-05-22T04:14:56.95" personId="{27D62A14-0763-304E-9A55-01400441277E}" id="{D223CDC4-4D0A-5E46-AE08-B330A26396E7}">
    <text>2.5% decrease assumption</text>
  </threadedComment>
  <threadedComment ref="W88" dT="2026-05-22T04:15:16.39" personId="{27D62A14-0763-304E-9A55-01400441277E}" id="{BDBFCB3D-DE67-D24C-8375-02EE55A7B7B5}">
    <text>10% decrease assumption</text>
  </threadedComment>
  <threadedComment ref="W89" dT="2026-05-22T04:15:34.69" personId="{27D62A14-0763-304E-9A55-01400441277E}" id="{9371F5F6-FF77-BD4E-AF4C-E974714F6871}">
    <text>3% decrease assumption</text>
  </threadedComment>
  <threadedComment ref="W90" dT="2026-05-22T04:15:47.87" personId="{27D62A14-0763-304E-9A55-01400441277E}" id="{4668B781-D382-E74C-999A-926919B79875}">
    <text>5% decrease assumption</text>
  </threadedComment>
  <threadedComment ref="W91" dT="2026-05-22T04:16:06.34" personId="{27D62A14-0763-304E-9A55-01400441277E}" id="{24CCBA60-F72B-5842-BDC6-E14D770A9017}">
    <text>1% growth assumption</text>
  </threadedComment>
  <threadedComment ref="W92" dT="2026-05-22T04:16:22.98" personId="{27D62A14-0763-304E-9A55-01400441277E}" id="{529E7CE6-29BD-E54A-8156-1B6282CA4BDA}">
    <text>4% growth assumption</text>
  </threadedComment>
  <threadedComment ref="W98" dT="2026-05-22T04:16:56.50" personId="{27D62A14-0763-304E-9A55-01400441277E}" id="{F878C106-33C8-E84D-A735-2625E5E9C7ED}">
    <text>2% decrease assumption</text>
  </threadedComment>
  <threadedComment ref="W99" dT="2026-05-22T04:17:23.80" personId="{27D62A14-0763-304E-9A55-01400441277E}" id="{6EBE3C65-8373-D545-92C0-B8E4BF59FB87}">
    <text>1% decrease assumption</text>
  </threadedComment>
  <threadedComment ref="W101" dT="2026-05-22T04:17:10.15" personId="{27D62A14-0763-304E-9A55-01400441277E}" id="{2029384D-87CD-1D49-87E4-B6E076B42ED1}">
    <text>2% decrease assumption</text>
  </threadedComment>
  <threadedComment ref="W106" dT="2026-05-22T04:17:38.88" personId="{27D62A14-0763-304E-9A55-01400441277E}" id="{3FF22178-8ABC-E842-BDFD-FB9599188B8C}">
    <text>1% growth assumption</text>
  </threadedComment>
  <threadedComment ref="W120" dT="2026-05-22T04:17:55.75" personId="{27D62A14-0763-304E-9A55-01400441277E}" id="{53B83B78-0195-AE4B-B263-9876F79FCC60}">
    <text>6% decrease assumption</text>
  </threadedComment>
  <threadedComment ref="W121" dT="2026-05-22T04:20:04.10" personId="{27D62A14-0763-304E-9A55-01400441277E}" id="{DF1D75BD-1BA1-D242-8453-47C394A20254}">
    <text>Used the difference to equal Assets</text>
  </threadedComment>
  <threadedComment ref="W122" dT="2026-05-22T04:18:39.39" personId="{27D62A14-0763-304E-9A55-01400441277E}" id="{9C62C8CE-90F9-964C-ABCC-68E83FC8B524}">
    <text>assumed 6% growth</text>
  </threadedComment>
  <threadedComment ref="W158" dT="2026-05-22T04:19:20.86" personId="{27D62A14-0763-304E-9A55-01400441277E}" id="{A23C5554-0E65-EF47-BF58-C0437C66B5AD}">
    <text>Assumed 3% decrease</text>
  </threadedComment>
  <threadedComment ref="W159" dT="2026-05-22T04:19:34.97" personId="{27D62A14-0763-304E-9A55-01400441277E}" id="{D95EF214-2DA0-364B-AC09-75ECD916FBCE}">
    <text>1% decrease assumption</text>
  </threadedComment>
  <threadedComment ref="W165" dT="2026-05-22T04:20:52.54" personId="{27D62A14-0763-304E-9A55-01400441277E}" id="{1E9F85C8-2C00-4942-84ED-58584C295F65}">
    <text>Qorvo had a consistent 3.7% of revenue</text>
  </threadedComment>
  <threadedComment ref="W168" dT="2026-05-22T04:28:51.93" personId="{27D62A14-0763-304E-9A55-01400441277E}" id="{F1112B6E-C158-C940-BD15-4AC20CA1CD2C}">
    <text>Assumption using Qorvo DSO 35</text>
  </threadedComment>
  <threadedComment ref="W169" dT="2026-05-22T04:23:26.19" personId="{27D62A14-0763-304E-9A55-01400441277E}" id="{57F7078B-200C-A149-9414-5E3AB652B645}">
    <text>Assumption using Qorvo DIO</text>
  </threadedComment>
  <threadedComment ref="W170" dT="2026-05-22T04:30:43.63" personId="{27D62A14-0763-304E-9A55-01400441277E}" id="{43DAC0BF-A249-C648-8C2C-B9AE092C4C28}">
    <text>Assumption using 3% growth</text>
  </threadedComment>
  <threadedComment ref="W172" dT="2026-05-22T04:31:59.85" personId="{27D62A14-0763-304E-9A55-01400441277E}" id="{71F04EAF-E883-D441-9AE3-01EDBCA8F1D9}">
    <text>Assuming constant</text>
  </threadedComment>
  <threadedComment ref="W173" dT="2026-05-22T04:31:44.46" personId="{27D62A14-0763-304E-9A55-01400441277E}" id="{BE30A5E3-41CC-544A-8B04-641C89192B9E}">
    <text>Assuming 7% decrease</text>
  </threadedComment>
  <threadedComment ref="W174" dT="2026-05-22T04:31:26.12" personId="{27D62A14-0763-304E-9A55-01400441277E}" id="{218051AB-5186-EE4E-A8F2-9D40AF65972D}">
    <text>Assuming 3% growth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1" dT="2026-05-24T00:29:30.39" personId="{27D62A14-0763-304E-9A55-01400441277E}" id="{C240009B-07E9-5145-BB8E-C88F4682FA1D}">
    <text xml:space="preserve">Took the average of the three numbers I found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95"/>
  <sheetViews>
    <sheetView workbookViewId="0">
      <pane xSplit="2" ySplit="2" topLeftCell="K32" activePane="bottomRight" state="frozen"/>
      <selection pane="topRight" activeCell="C1" sqref="C1"/>
      <selection pane="bottomLeft" activeCell="A3" sqref="A3"/>
      <selection pane="bottomRight" activeCell="R9" sqref="R9"/>
    </sheetView>
  </sheetViews>
  <sheetFormatPr baseColWidth="10" defaultColWidth="12.6640625" defaultRowHeight="15" customHeight="1" outlineLevelCol="1" x14ac:dyDescent="0.2"/>
  <cols>
    <col min="1" max="1" width="42.1640625" customWidth="1"/>
    <col min="2" max="2" width="8.6640625" customWidth="1"/>
    <col min="3" max="10" width="8.6640625" hidden="1" customWidth="1" outlineLevel="1"/>
    <col min="11" max="11" width="9.83203125" customWidth="1" collapsed="1"/>
    <col min="12" max="13" width="11.33203125" customWidth="1"/>
    <col min="14" max="14" width="13.83203125" customWidth="1"/>
    <col min="15" max="16" width="9.83203125" customWidth="1"/>
    <col min="17" max="17" width="10.1640625" customWidth="1"/>
    <col min="18" max="18" width="12.6640625" customWidth="1"/>
    <col min="19" max="19" width="11.83203125" customWidth="1"/>
    <col min="20" max="20" width="12.33203125" customWidth="1"/>
    <col min="21" max="21" width="12.83203125" customWidth="1"/>
    <col min="22" max="22" width="12.33203125" customWidth="1"/>
    <col min="23" max="23" width="12.6640625" customWidth="1"/>
    <col min="24" max="26" width="8.83203125" customWidth="1"/>
    <col min="27" max="27" width="12.33203125" customWidth="1"/>
    <col min="28" max="28" width="14.5" customWidth="1"/>
    <col min="29" max="29" width="12.5" customWidth="1"/>
    <col min="30" max="30" width="8.83203125" customWidth="1"/>
    <col min="31" max="31" width="8.6640625" customWidth="1"/>
  </cols>
  <sheetData>
    <row r="1" spans="1:31" ht="12" hidden="1" customHeight="1" x14ac:dyDescent="0.2">
      <c r="A1" s="1"/>
      <c r="B1" s="2"/>
      <c r="C1" s="3">
        <v>40178</v>
      </c>
      <c r="D1" s="4">
        <v>40543</v>
      </c>
      <c r="E1" s="4">
        <v>40908</v>
      </c>
      <c r="F1" s="4">
        <v>41274</v>
      </c>
      <c r="G1" s="4">
        <v>41639</v>
      </c>
      <c r="H1" s="4">
        <v>42004</v>
      </c>
      <c r="I1" s="4">
        <v>42369</v>
      </c>
      <c r="J1" s="4">
        <v>42735</v>
      </c>
      <c r="K1" s="4">
        <v>43100</v>
      </c>
      <c r="L1" s="4">
        <v>43465</v>
      </c>
      <c r="M1" s="4">
        <v>43830</v>
      </c>
      <c r="N1" s="4">
        <v>44196</v>
      </c>
      <c r="O1" s="4">
        <v>44561</v>
      </c>
      <c r="P1" s="4">
        <v>44926</v>
      </c>
      <c r="Q1" s="4">
        <v>45291</v>
      </c>
      <c r="R1" s="5">
        <v>45747</v>
      </c>
      <c r="S1" s="5">
        <v>45838</v>
      </c>
      <c r="T1" s="5">
        <v>45930</v>
      </c>
      <c r="U1" s="5">
        <v>46022</v>
      </c>
      <c r="V1" s="4">
        <v>46022</v>
      </c>
      <c r="W1" s="5">
        <v>46112</v>
      </c>
      <c r="X1" s="5">
        <v>46203</v>
      </c>
      <c r="Y1" s="5">
        <v>46295</v>
      </c>
      <c r="Z1" s="5">
        <v>46387</v>
      </c>
      <c r="AA1" s="4">
        <v>45930</v>
      </c>
      <c r="AB1" s="4">
        <v>46752</v>
      </c>
      <c r="AC1" s="4">
        <v>47118</v>
      </c>
      <c r="AD1" s="4">
        <v>47483</v>
      </c>
      <c r="AE1" s="6"/>
    </row>
    <row r="2" spans="1:31" ht="12" customHeight="1" x14ac:dyDescent="0.2">
      <c r="A2" s="7"/>
      <c r="B2" s="8"/>
      <c r="C2" s="9" t="s">
        <v>0</v>
      </c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J2" s="10" t="s">
        <v>7</v>
      </c>
      <c r="K2" s="11">
        <v>2019</v>
      </c>
      <c r="L2" s="11">
        <v>2020</v>
      </c>
      <c r="M2" s="11">
        <v>2021</v>
      </c>
      <c r="N2" s="11">
        <v>2022</v>
      </c>
      <c r="O2" s="11">
        <v>2023</v>
      </c>
      <c r="P2" s="11">
        <v>2024</v>
      </c>
      <c r="Q2" s="11">
        <v>2025</v>
      </c>
      <c r="R2" s="11">
        <v>2026</v>
      </c>
      <c r="S2" s="11">
        <v>2027</v>
      </c>
      <c r="T2" s="11">
        <v>2028</v>
      </c>
      <c r="U2" s="11">
        <v>2029</v>
      </c>
      <c r="V2" s="11">
        <v>2030</v>
      </c>
      <c r="W2" s="11"/>
      <c r="X2" s="11"/>
      <c r="Y2" s="11"/>
      <c r="Z2" s="11"/>
      <c r="AA2" s="11" t="s">
        <v>8</v>
      </c>
      <c r="AB2" s="11" t="s">
        <v>9</v>
      </c>
      <c r="AC2" s="11" t="s">
        <v>10</v>
      </c>
      <c r="AD2" s="11"/>
      <c r="AE2" s="6"/>
    </row>
    <row r="3" spans="1:31" ht="12" customHeight="1" x14ac:dyDescent="0.2">
      <c r="A3" s="12" t="s">
        <v>11</v>
      </c>
      <c r="B3" s="13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4"/>
      <c r="S3" s="14"/>
      <c r="T3" s="14"/>
      <c r="U3" s="14"/>
      <c r="V3" s="15"/>
      <c r="W3" s="14"/>
      <c r="X3" s="14"/>
      <c r="Y3" s="14"/>
      <c r="Z3" s="14"/>
      <c r="AA3" s="15"/>
      <c r="AB3" s="15"/>
      <c r="AC3" s="15"/>
      <c r="AD3" s="15"/>
      <c r="AE3" s="6"/>
    </row>
    <row r="4" spans="1:31" ht="12" customHeight="1" x14ac:dyDescent="0.2">
      <c r="A4" s="151" t="s">
        <v>12</v>
      </c>
      <c r="B4" s="151"/>
      <c r="C4" s="151"/>
      <c r="D4" s="18"/>
      <c r="E4" s="18"/>
      <c r="F4" s="18"/>
      <c r="G4" s="18"/>
      <c r="H4" s="18"/>
      <c r="I4" s="18"/>
      <c r="J4" s="18"/>
      <c r="K4" s="19">
        <v>3090325</v>
      </c>
      <c r="L4" s="19">
        <v>3239141</v>
      </c>
      <c r="M4" s="19">
        <v>4015307</v>
      </c>
      <c r="N4" s="19">
        <v>4645714</v>
      </c>
      <c r="O4" s="65">
        <v>3569399</v>
      </c>
      <c r="P4" s="25">
        <v>3769506</v>
      </c>
      <c r="Q4" s="19">
        <v>3718971</v>
      </c>
      <c r="R4" s="14">
        <f>Q4*(1.06)</f>
        <v>3942109.2600000002</v>
      </c>
      <c r="S4" s="14">
        <f t="shared" ref="S4:V4" si="0">R4*(1.06)</f>
        <v>4178635.8156000003</v>
      </c>
      <c r="T4" s="14">
        <f t="shared" si="0"/>
        <v>4429353.964536001</v>
      </c>
      <c r="U4" s="14">
        <f t="shared" si="0"/>
        <v>4695115.202408161</v>
      </c>
      <c r="V4" s="14">
        <f t="shared" si="0"/>
        <v>4976822.1145526506</v>
      </c>
      <c r="W4" s="14"/>
      <c r="X4" s="14"/>
      <c r="Y4" s="14"/>
      <c r="Z4" s="14"/>
      <c r="AA4" s="15">
        <f>T4</f>
        <v>4429353.964536001</v>
      </c>
      <c r="AB4" s="15">
        <f>AA4*1.05</f>
        <v>4650821.6627628012</v>
      </c>
      <c r="AC4" s="15">
        <f>AA4*0.97</f>
        <v>4296473.3455999205</v>
      </c>
      <c r="AD4" s="15"/>
      <c r="AE4" s="21"/>
    </row>
    <row r="5" spans="1:31" ht="12" customHeight="1" x14ac:dyDescent="0.2">
      <c r="A5" s="151" t="s">
        <v>13</v>
      </c>
      <c r="B5" s="151"/>
      <c r="C5" s="151"/>
      <c r="D5" s="24"/>
      <c r="E5" s="24"/>
      <c r="F5" s="24"/>
      <c r="G5" s="24"/>
      <c r="H5" s="24"/>
      <c r="I5" s="24"/>
      <c r="J5" s="24"/>
      <c r="K5" s="24">
        <v>1895142</v>
      </c>
      <c r="L5" s="25">
        <v>1917378</v>
      </c>
      <c r="M5" s="25">
        <v>2131741</v>
      </c>
      <c r="N5" s="25">
        <v>2359546</v>
      </c>
      <c r="O5" s="26">
        <v>2272457</v>
      </c>
      <c r="P5" s="25">
        <v>2281011</v>
      </c>
      <c r="Q5" s="25">
        <v>2183382</v>
      </c>
      <c r="R5" s="14">
        <f>0.55*R4</f>
        <v>2168160.0930000003</v>
      </c>
      <c r="S5" s="14">
        <f t="shared" ref="S5:U5" si="1">0.55*S4</f>
        <v>2298249.6985800005</v>
      </c>
      <c r="T5" s="14">
        <f t="shared" si="1"/>
        <v>2436144.6804948007</v>
      </c>
      <c r="U5" s="14">
        <f t="shared" si="1"/>
        <v>2582313.3613244887</v>
      </c>
      <c r="V5" s="14">
        <f>0.55*V4</f>
        <v>2737252.1630039578</v>
      </c>
      <c r="W5" s="14"/>
      <c r="X5" s="14"/>
      <c r="Y5" s="14"/>
      <c r="Z5" s="14"/>
      <c r="AA5" s="15">
        <v>2235101.0131543502</v>
      </c>
      <c r="AB5" s="15">
        <f>T5</f>
        <v>2436144.6804948007</v>
      </c>
      <c r="AC5" s="15">
        <f>T5</f>
        <v>2436144.6804948007</v>
      </c>
      <c r="AD5" s="15"/>
      <c r="AE5" s="21"/>
    </row>
    <row r="6" spans="1:31" ht="12" customHeight="1" x14ac:dyDescent="0.2">
      <c r="A6" s="151" t="s">
        <v>14</v>
      </c>
      <c r="B6" s="151"/>
      <c r="C6" s="151"/>
      <c r="D6" s="24"/>
      <c r="E6" s="24"/>
      <c r="F6" s="24"/>
      <c r="G6" s="24"/>
      <c r="H6" s="24"/>
      <c r="I6" s="24"/>
      <c r="J6" s="24"/>
      <c r="K6" s="24">
        <v>1195183</v>
      </c>
      <c r="L6" s="25">
        <v>1321763</v>
      </c>
      <c r="M6" s="25">
        <v>1883566</v>
      </c>
      <c r="N6" s="25">
        <v>2286168</v>
      </c>
      <c r="O6" s="26">
        <v>1296942</v>
      </c>
      <c r="P6" s="25">
        <v>1488495</v>
      </c>
      <c r="Q6" s="25">
        <v>1535589</v>
      </c>
      <c r="R6" s="14">
        <f>R4-R5</f>
        <v>1773949.1669999999</v>
      </c>
      <c r="S6" s="14">
        <f t="shared" ref="S6:V6" si="2">S4-S5</f>
        <v>1880386.1170199998</v>
      </c>
      <c r="T6" s="14">
        <f t="shared" si="2"/>
        <v>1993209.2840412003</v>
      </c>
      <c r="U6" s="14">
        <f t="shared" si="2"/>
        <v>2112801.8410836724</v>
      </c>
      <c r="V6" s="14">
        <f t="shared" si="2"/>
        <v>2239569.9515486928</v>
      </c>
      <c r="W6" s="14"/>
      <c r="X6" s="14"/>
      <c r="Y6" s="14"/>
      <c r="Z6" s="14"/>
      <c r="AA6" s="15">
        <v>1828719.0107626501</v>
      </c>
      <c r="AB6" s="15">
        <f>AB$4*AB42</f>
        <v>2232394.3981261444</v>
      </c>
      <c r="AC6" s="15">
        <f>AC$4*AC42</f>
        <v>1675624.604783969</v>
      </c>
      <c r="AD6" s="15"/>
      <c r="AE6" s="21"/>
    </row>
    <row r="7" spans="1:31" ht="12" customHeight="1" x14ac:dyDescent="0.2">
      <c r="A7" s="151"/>
      <c r="B7" s="151"/>
      <c r="C7" s="151"/>
      <c r="D7" s="29"/>
      <c r="E7" s="29"/>
      <c r="F7" s="29"/>
      <c r="G7" s="29"/>
      <c r="H7" s="29"/>
      <c r="I7" s="29"/>
      <c r="J7" s="29"/>
      <c r="K7" s="29"/>
      <c r="L7" s="30"/>
      <c r="M7" s="30"/>
      <c r="N7" s="30"/>
      <c r="O7" s="30"/>
      <c r="P7" s="30"/>
      <c r="Q7" s="30"/>
      <c r="R7" s="14"/>
      <c r="S7" s="14"/>
      <c r="T7" s="14"/>
      <c r="U7" s="14"/>
      <c r="V7" s="15"/>
      <c r="W7" s="14"/>
      <c r="X7" s="14"/>
      <c r="Y7" s="14"/>
      <c r="Z7" s="14"/>
      <c r="AA7" s="15"/>
      <c r="AB7" s="15"/>
      <c r="AC7" s="15"/>
      <c r="AD7" s="15"/>
      <c r="AE7" s="21"/>
    </row>
    <row r="8" spans="1:31" ht="12" customHeight="1" x14ac:dyDescent="0.2">
      <c r="A8" s="151" t="s">
        <v>15</v>
      </c>
      <c r="B8" s="151"/>
      <c r="C8" s="151"/>
      <c r="D8" s="24"/>
      <c r="E8" s="24"/>
      <c r="F8" s="24"/>
      <c r="G8" s="24"/>
      <c r="H8" s="24"/>
      <c r="I8" s="24"/>
      <c r="J8" s="24"/>
      <c r="K8" s="24"/>
      <c r="L8" s="25"/>
      <c r="M8" s="25"/>
      <c r="N8" s="25"/>
      <c r="O8" s="26"/>
      <c r="P8" s="25"/>
      <c r="Q8" s="25"/>
      <c r="R8" s="14"/>
      <c r="S8" s="14"/>
      <c r="T8" s="14"/>
      <c r="U8" s="14"/>
      <c r="V8" s="15"/>
      <c r="W8" s="14"/>
      <c r="X8" s="14"/>
      <c r="Y8" s="14"/>
      <c r="Z8" s="14"/>
      <c r="AA8" s="15"/>
      <c r="AB8" s="15"/>
      <c r="AC8" s="15"/>
      <c r="AD8" s="15"/>
      <c r="AE8" s="21"/>
    </row>
    <row r="9" spans="1:31" ht="12" customHeight="1" x14ac:dyDescent="0.2">
      <c r="A9" s="151" t="s">
        <v>16</v>
      </c>
      <c r="B9" s="151"/>
      <c r="C9" s="151"/>
      <c r="D9" s="24"/>
      <c r="E9" s="24"/>
      <c r="F9" s="24"/>
      <c r="G9" s="24"/>
      <c r="H9" s="24"/>
      <c r="I9" s="24"/>
      <c r="J9" s="24"/>
      <c r="K9" s="24">
        <v>450482</v>
      </c>
      <c r="L9" s="25">
        <v>484414</v>
      </c>
      <c r="M9" s="25">
        <v>570395</v>
      </c>
      <c r="N9" s="25">
        <v>623636</v>
      </c>
      <c r="O9" s="26">
        <v>649841</v>
      </c>
      <c r="P9" s="25">
        <v>682249</v>
      </c>
      <c r="Q9" s="25">
        <v>747709</v>
      </c>
      <c r="R9" s="14">
        <f ca="1">R47*R4</f>
        <v>0</v>
      </c>
      <c r="S9" s="14">
        <f t="shared" ref="S9:V9" si="3">S47*S4</f>
        <v>793940.80496400013</v>
      </c>
      <c r="T9" s="14">
        <f t="shared" si="3"/>
        <v>841577.2532618402</v>
      </c>
      <c r="U9" s="14">
        <f t="shared" si="3"/>
        <v>892071.88845755055</v>
      </c>
      <c r="V9" s="14">
        <f t="shared" si="3"/>
        <v>945596.20176500361</v>
      </c>
      <c r="W9" s="14"/>
      <c r="X9" s="14"/>
      <c r="Y9" s="14"/>
      <c r="Z9" s="14"/>
      <c r="AA9" s="15">
        <f>AA47*AA4</f>
        <v>841577.2532618402</v>
      </c>
      <c r="AB9" s="15">
        <f t="shared" ref="AB9:AC9" si="4">AB47*AB4</f>
        <v>883656.11592493218</v>
      </c>
      <c r="AC9" s="15">
        <f t="shared" si="4"/>
        <v>816329.93566398486</v>
      </c>
      <c r="AD9" s="15"/>
      <c r="AE9" s="21"/>
    </row>
    <row r="10" spans="1:31" ht="12" customHeight="1" x14ac:dyDescent="0.2">
      <c r="A10" s="151" t="s">
        <v>17</v>
      </c>
      <c r="B10" s="151"/>
      <c r="C10" s="151"/>
      <c r="D10" s="24"/>
      <c r="E10" s="24"/>
      <c r="F10" s="24"/>
      <c r="G10" s="24"/>
      <c r="H10" s="24"/>
      <c r="I10" s="24"/>
      <c r="J10" s="24"/>
      <c r="K10" s="24">
        <v>476074</v>
      </c>
      <c r="L10" s="24">
        <v>343569</v>
      </c>
      <c r="M10" s="24">
        <v>367238</v>
      </c>
      <c r="N10" s="24">
        <v>349718</v>
      </c>
      <c r="O10" s="24">
        <v>358790</v>
      </c>
      <c r="P10" s="24">
        <v>389140</v>
      </c>
      <c r="Q10" s="64">
        <v>403624</v>
      </c>
      <c r="R10" s="14">
        <f>R$4*R48</f>
        <v>394210.92600000004</v>
      </c>
      <c r="S10" s="14">
        <f t="shared" ref="S10:V10" si="5">R10*1.03</f>
        <v>406037.25378000003</v>
      </c>
      <c r="T10" s="14">
        <f t="shared" si="5"/>
        <v>418218.37139340001</v>
      </c>
      <c r="U10" s="14">
        <f t="shared" si="5"/>
        <v>430764.922535202</v>
      </c>
      <c r="V10" s="14">
        <f t="shared" si="5"/>
        <v>443687.87021125806</v>
      </c>
      <c r="W10" s="14"/>
      <c r="X10" s="14"/>
      <c r="Y10" s="14"/>
      <c r="Z10" s="14"/>
      <c r="AA10" s="15">
        <f>AA48*AA4</f>
        <v>420788.6266309201</v>
      </c>
      <c r="AB10" s="15">
        <f>AB48*AB4</f>
        <v>372065.73302102409</v>
      </c>
      <c r="AC10" s="15">
        <f>AC48*AC4</f>
        <v>515576.80147199042</v>
      </c>
      <c r="AD10" s="15"/>
      <c r="AE10" s="21"/>
    </row>
    <row r="11" spans="1:31" ht="12" customHeight="1" x14ac:dyDescent="0.2">
      <c r="D11" s="29"/>
      <c r="E11" s="29"/>
      <c r="F11" s="29"/>
      <c r="G11" s="29"/>
      <c r="H11" s="29"/>
      <c r="I11" s="29"/>
      <c r="J11" s="29"/>
      <c r="K11" s="29"/>
      <c r="L11" s="30"/>
      <c r="M11" s="30"/>
      <c r="N11" s="30"/>
      <c r="O11" s="30"/>
      <c r="P11" s="30"/>
      <c r="Q11" s="30"/>
      <c r="R11" s="14"/>
      <c r="S11" s="14"/>
      <c r="T11" s="14"/>
      <c r="U11" s="14"/>
      <c r="V11" s="15"/>
      <c r="W11" s="14"/>
      <c r="X11" s="14"/>
      <c r="Y11" s="14"/>
      <c r="Z11" s="14"/>
      <c r="AA11" s="15"/>
      <c r="AB11" s="15"/>
      <c r="AC11" s="15"/>
      <c r="AD11" s="15"/>
      <c r="AE11" s="21"/>
    </row>
    <row r="12" spans="1:31" ht="12" customHeight="1" x14ac:dyDescent="0.2">
      <c r="A12" s="151" t="s">
        <v>18</v>
      </c>
      <c r="B12" s="151"/>
      <c r="C12" s="151"/>
      <c r="D12" s="24"/>
      <c r="E12" s="24"/>
      <c r="F12" s="24"/>
      <c r="G12" s="24"/>
      <c r="H12" s="24"/>
      <c r="I12" s="24"/>
      <c r="J12" s="24"/>
      <c r="K12" s="24">
        <v>52161</v>
      </c>
      <c r="L12" s="24">
        <v>70564</v>
      </c>
      <c r="M12" s="24">
        <v>39306</v>
      </c>
      <c r="N12" s="30">
        <v>86745</v>
      </c>
      <c r="O12" s="30">
        <v>105143</v>
      </c>
      <c r="P12" s="25" t="s">
        <v>19</v>
      </c>
      <c r="Q12" s="25">
        <v>96160</v>
      </c>
      <c r="R12" s="14">
        <f>R6*0.05</f>
        <v>88697.458350000001</v>
      </c>
      <c r="S12" s="14">
        <f t="shared" ref="S12:V12" si="6">S6*0.05</f>
        <v>94019.305850999997</v>
      </c>
      <c r="T12" s="14">
        <f t="shared" si="6"/>
        <v>99660.464202060015</v>
      </c>
      <c r="U12" s="14">
        <f t="shared" si="6"/>
        <v>105640.09205418362</v>
      </c>
      <c r="V12" s="14">
        <f t="shared" si="6"/>
        <v>111978.49757743464</v>
      </c>
      <c r="W12" s="14"/>
      <c r="X12" s="14"/>
      <c r="Y12" s="14"/>
      <c r="Z12" s="14"/>
      <c r="AA12" s="15">
        <v>91435.950538132514</v>
      </c>
      <c r="AB12" s="15">
        <v>91435.950538132514</v>
      </c>
      <c r="AC12" s="15">
        <v>91435.950538132514</v>
      </c>
      <c r="AD12" s="15"/>
      <c r="AE12" s="21"/>
    </row>
    <row r="13" spans="1:31" ht="12" customHeight="1" x14ac:dyDescent="0.2">
      <c r="A13" s="152" t="s">
        <v>20</v>
      </c>
      <c r="B13" s="152"/>
      <c r="C13" s="152"/>
      <c r="D13" s="24"/>
      <c r="E13" s="24"/>
      <c r="F13" s="24"/>
      <c r="G13" s="24"/>
      <c r="H13" s="24"/>
      <c r="I13" s="24"/>
      <c r="J13" s="24"/>
      <c r="K13" s="24">
        <f>SUM(K9:K12)</f>
        <v>978717</v>
      </c>
      <c r="L13" s="24">
        <f t="shared" ref="L13:Q13" si="7">SUM(L9:L12)</f>
        <v>898547</v>
      </c>
      <c r="M13" s="24">
        <f t="shared" si="7"/>
        <v>976939</v>
      </c>
      <c r="N13" s="24">
        <f t="shared" si="7"/>
        <v>1060099</v>
      </c>
      <c r="O13" s="24">
        <f t="shared" si="7"/>
        <v>1113774</v>
      </c>
      <c r="P13" s="24">
        <f t="shared" si="7"/>
        <v>1071389</v>
      </c>
      <c r="Q13" s="24">
        <f t="shared" si="7"/>
        <v>1247493</v>
      </c>
      <c r="R13" s="14">
        <f ca="1">SUM(R9:R12)</f>
        <v>1282957.0143500001</v>
      </c>
      <c r="S13" s="14">
        <f t="shared" ref="S13:V13" si="8">SUM(S9:S12)</f>
        <v>1293997.3645950002</v>
      </c>
      <c r="T13" s="14">
        <f t="shared" si="8"/>
        <v>1359456.0888573001</v>
      </c>
      <c r="U13" s="14">
        <f t="shared" si="8"/>
        <v>1428476.9030469363</v>
      </c>
      <c r="V13" s="14">
        <f t="shared" si="8"/>
        <v>1501262.5695536963</v>
      </c>
      <c r="W13" s="14"/>
      <c r="X13" s="14"/>
      <c r="Y13" s="14"/>
      <c r="Z13" s="14"/>
      <c r="AA13" s="15">
        <v>1448462.4696731328</v>
      </c>
      <c r="AB13" s="15">
        <f>SUM(AB9:AB12)</f>
        <v>1347157.7994840888</v>
      </c>
      <c r="AC13" s="15">
        <f>SUM(AC9:AC12)</f>
        <v>1423342.6876741077</v>
      </c>
      <c r="AD13" s="15"/>
      <c r="AE13" s="21"/>
    </row>
    <row r="14" spans="1:31" ht="12" customHeight="1" x14ac:dyDescent="0.2">
      <c r="A14" s="151" t="s">
        <v>21</v>
      </c>
      <c r="B14" s="151"/>
      <c r="C14" s="151"/>
      <c r="D14" s="24"/>
      <c r="E14" s="24"/>
      <c r="F14" s="24"/>
      <c r="G14" s="24"/>
      <c r="H14" s="24"/>
      <c r="I14" s="24"/>
      <c r="J14" s="24"/>
      <c r="K14" s="24">
        <f>K6-K13</f>
        <v>216466</v>
      </c>
      <c r="L14" s="24">
        <f t="shared" ref="L14:Q14" si="9">L6-L13</f>
        <v>423216</v>
      </c>
      <c r="M14" s="24">
        <f t="shared" si="9"/>
        <v>906627</v>
      </c>
      <c r="N14" s="24">
        <f t="shared" si="9"/>
        <v>1226069</v>
      </c>
      <c r="O14" s="24">
        <f t="shared" si="9"/>
        <v>183168</v>
      </c>
      <c r="P14" s="24">
        <f t="shared" si="9"/>
        <v>417106</v>
      </c>
      <c r="Q14" s="24">
        <f t="shared" si="9"/>
        <v>288096</v>
      </c>
      <c r="R14" s="14">
        <f ca="1">R6-R13</f>
        <v>490992.15264999983</v>
      </c>
      <c r="S14" s="14">
        <f t="shared" ref="S14:V14" si="10">S6-S13</f>
        <v>586388.75242499961</v>
      </c>
      <c r="T14" s="14">
        <f t="shared" si="10"/>
        <v>633753.19518390018</v>
      </c>
      <c r="U14" s="14">
        <f t="shared" si="10"/>
        <v>684324.9380367361</v>
      </c>
      <c r="V14" s="14">
        <f t="shared" si="10"/>
        <v>738307.38199499645</v>
      </c>
      <c r="W14" s="14"/>
      <c r="X14" s="14"/>
      <c r="Y14" s="14"/>
      <c r="Z14" s="14"/>
      <c r="AA14" s="15">
        <v>380256.5410895173</v>
      </c>
      <c r="AB14" s="15">
        <f>AB6-AB13</f>
        <v>885236.59864205564</v>
      </c>
      <c r="AC14" s="15">
        <f>AC6-AC13</f>
        <v>252281.91710986127</v>
      </c>
      <c r="AD14" s="15"/>
      <c r="AE14" s="21"/>
    </row>
    <row r="15" spans="1:31" ht="12" customHeight="1" x14ac:dyDescent="0.2">
      <c r="A15" s="151"/>
      <c r="B15" s="151"/>
      <c r="C15" s="151"/>
      <c r="D15" s="24"/>
      <c r="E15" s="24"/>
      <c r="F15" s="24"/>
      <c r="G15" s="24"/>
      <c r="H15" s="24"/>
      <c r="I15" s="24"/>
      <c r="J15" s="24"/>
      <c r="K15" s="24"/>
      <c r="L15" s="25"/>
      <c r="M15" s="25"/>
      <c r="N15" s="25"/>
      <c r="O15" s="26"/>
      <c r="Q15" s="25"/>
      <c r="R15" s="14"/>
      <c r="S15" s="14"/>
      <c r="T15" s="14"/>
      <c r="U15" s="14"/>
      <c r="V15" s="15"/>
      <c r="W15" s="14"/>
      <c r="X15" s="14"/>
      <c r="Y15" s="14"/>
      <c r="Z15" s="14"/>
      <c r="AA15" s="15"/>
      <c r="AB15" s="15"/>
      <c r="AC15" s="15"/>
      <c r="AD15" s="15"/>
      <c r="AE15" s="21"/>
    </row>
    <row r="16" spans="1:31" ht="12" customHeight="1" x14ac:dyDescent="0.2">
      <c r="A16" s="151" t="s">
        <v>22</v>
      </c>
      <c r="B16" s="151"/>
      <c r="C16" s="151"/>
      <c r="D16" s="29"/>
      <c r="E16" s="29"/>
      <c r="F16" s="29"/>
      <c r="G16" s="29"/>
      <c r="H16" s="29"/>
      <c r="I16" s="29"/>
      <c r="J16" s="29"/>
      <c r="K16" s="29">
        <v>-43963</v>
      </c>
      <c r="L16" s="30">
        <v>-60392</v>
      </c>
      <c r="M16" s="30">
        <v>-75198</v>
      </c>
      <c r="N16" s="30">
        <v>-63326</v>
      </c>
      <c r="O16" s="30">
        <v>-68463</v>
      </c>
      <c r="P16" s="25">
        <v>-69245</v>
      </c>
      <c r="Q16" s="26">
        <v>-78328</v>
      </c>
      <c r="R16" s="14">
        <f>Q16*1.01</f>
        <v>-79111.28</v>
      </c>
      <c r="S16" s="14">
        <f t="shared" ref="S16:V16" si="11">R16*1.01</f>
        <v>-79902.392800000001</v>
      </c>
      <c r="T16" s="14">
        <f t="shared" si="11"/>
        <v>-80701.416727999997</v>
      </c>
      <c r="U16" s="14">
        <f t="shared" si="11"/>
        <v>-81508.430895279991</v>
      </c>
      <c r="V16" s="14">
        <f t="shared" si="11"/>
        <v>-82323.515204232797</v>
      </c>
      <c r="W16" s="14"/>
      <c r="X16" s="14"/>
      <c r="Y16" s="14"/>
      <c r="Z16" s="14"/>
      <c r="AA16" s="15">
        <v>-80701.416727999997</v>
      </c>
      <c r="AB16" s="15">
        <v>-80701.416727999997</v>
      </c>
      <c r="AC16" s="15">
        <v>-80701.416727999997</v>
      </c>
      <c r="AD16" s="15"/>
      <c r="AE16" s="21"/>
    </row>
    <row r="17" spans="1:31" ht="12" customHeight="1" x14ac:dyDescent="0.2">
      <c r="D17" s="24"/>
      <c r="E17" s="24"/>
      <c r="F17" s="24"/>
      <c r="G17" s="24"/>
      <c r="H17" s="24"/>
      <c r="I17" s="24"/>
      <c r="J17" s="24"/>
      <c r="K17" s="24"/>
      <c r="L17" s="25"/>
      <c r="M17" s="25"/>
      <c r="N17" s="25"/>
      <c r="O17" s="26"/>
      <c r="P17" s="26"/>
      <c r="R17" s="14"/>
      <c r="S17" s="14"/>
      <c r="T17" s="14"/>
      <c r="U17" s="14"/>
      <c r="V17" s="15"/>
      <c r="W17" s="14"/>
      <c r="X17" s="14"/>
      <c r="Y17" s="14"/>
      <c r="Z17" s="14"/>
      <c r="AA17" s="15"/>
      <c r="AB17" s="15"/>
      <c r="AC17" s="15"/>
      <c r="AD17" s="15"/>
      <c r="AE17" s="21"/>
    </row>
    <row r="18" spans="1:31" ht="12" customHeight="1" x14ac:dyDescent="0.2">
      <c r="D18" s="31"/>
      <c r="E18" s="31"/>
      <c r="F18" s="31"/>
      <c r="G18" s="31"/>
      <c r="H18" s="31"/>
      <c r="I18" s="31"/>
      <c r="J18" s="31"/>
      <c r="K18" s="31"/>
      <c r="L18" s="32"/>
      <c r="M18" s="32"/>
      <c r="N18" s="32"/>
      <c r="O18" s="33"/>
      <c r="P18" s="33"/>
      <c r="Q18" s="33"/>
      <c r="R18" s="14"/>
      <c r="S18" s="14"/>
      <c r="T18" s="14"/>
      <c r="U18" s="14"/>
      <c r="V18" s="15"/>
      <c r="W18" s="14"/>
      <c r="X18" s="14"/>
      <c r="Y18" s="14"/>
      <c r="Z18" s="14"/>
      <c r="AA18" s="15"/>
      <c r="AB18" s="15"/>
      <c r="AC18" s="15"/>
      <c r="AD18" s="15"/>
      <c r="AE18" s="21"/>
    </row>
    <row r="19" spans="1:31" ht="12" customHeight="1" x14ac:dyDescent="0.2">
      <c r="D19" s="24"/>
      <c r="E19" s="24"/>
      <c r="F19" s="24"/>
      <c r="G19" s="24"/>
      <c r="H19" s="24"/>
      <c r="I19" s="24"/>
      <c r="J19" s="24"/>
      <c r="K19" s="24"/>
      <c r="L19" s="26"/>
      <c r="M19" s="26"/>
      <c r="N19" s="26"/>
      <c r="O19" s="26"/>
      <c r="P19" s="25"/>
      <c r="Q19" s="25"/>
      <c r="R19" s="14"/>
      <c r="S19" s="14"/>
      <c r="T19" s="14"/>
      <c r="U19" s="14"/>
      <c r="V19" s="15"/>
      <c r="W19" s="14"/>
      <c r="X19" s="14"/>
      <c r="Y19" s="14"/>
      <c r="Z19" s="14"/>
      <c r="AA19" s="15"/>
      <c r="AB19" s="15"/>
      <c r="AC19" s="15"/>
      <c r="AD19" s="15"/>
      <c r="AE19" s="21"/>
    </row>
    <row r="20" spans="1:31" ht="12" customHeight="1" x14ac:dyDescent="0.2">
      <c r="A20" s="151" t="s">
        <v>23</v>
      </c>
      <c r="B20" s="151"/>
      <c r="C20" s="151"/>
      <c r="D20" s="29"/>
      <c r="E20" s="29"/>
      <c r="F20" s="29"/>
      <c r="G20" s="29"/>
      <c r="H20" s="29"/>
      <c r="I20" s="29"/>
      <c r="J20" s="29"/>
      <c r="K20" s="29">
        <v>-80711</v>
      </c>
      <c r="L20" s="30">
        <v>32265</v>
      </c>
      <c r="M20" s="30">
        <v>-24049</v>
      </c>
      <c r="N20" s="30">
        <v>18341</v>
      </c>
      <c r="O20" s="31">
        <v>9924</v>
      </c>
      <c r="P20" s="30">
        <v>51104</v>
      </c>
      <c r="Q20" s="30">
        <v>48700</v>
      </c>
      <c r="R20" s="14">
        <f>Q20*1.02</f>
        <v>49674</v>
      </c>
      <c r="S20" s="14">
        <f t="shared" ref="S20:V20" si="12">R20*1.02</f>
        <v>50667.48</v>
      </c>
      <c r="T20" s="14">
        <f t="shared" si="12"/>
        <v>51680.829600000005</v>
      </c>
      <c r="U20" s="14">
        <f t="shared" si="12"/>
        <v>52714.446192000003</v>
      </c>
      <c r="V20" s="14">
        <f t="shared" si="12"/>
        <v>53768.735115840005</v>
      </c>
      <c r="W20" s="14"/>
      <c r="X20" s="14"/>
      <c r="Y20" s="14"/>
      <c r="Z20" s="14"/>
      <c r="AA20" s="15">
        <v>51680.829600000005</v>
      </c>
      <c r="AB20" s="15">
        <v>51680.829600000005</v>
      </c>
      <c r="AC20" s="15">
        <v>51680.829600000005</v>
      </c>
      <c r="AD20" s="15"/>
      <c r="AE20" s="21"/>
    </row>
    <row r="21" spans="1:31" ht="12" customHeight="1" x14ac:dyDescent="0.2">
      <c r="A21" s="151" t="s">
        <v>24</v>
      </c>
      <c r="B21" s="151"/>
      <c r="C21" s="151"/>
      <c r="D21" s="31"/>
      <c r="E21" s="31"/>
      <c r="F21" s="31"/>
      <c r="G21" s="31"/>
      <c r="H21" s="31"/>
      <c r="I21" s="31"/>
      <c r="J21" s="31"/>
      <c r="K21" s="31">
        <v>91792</v>
      </c>
      <c r="L21" s="31">
        <v>395089</v>
      </c>
      <c r="M21" s="31">
        <v>807380</v>
      </c>
      <c r="N21" s="31" t="s">
        <v>25</v>
      </c>
      <c r="O21" s="64">
        <v>124629</v>
      </c>
      <c r="P21" s="31">
        <v>73560</v>
      </c>
      <c r="Q21" s="31">
        <v>65899</v>
      </c>
      <c r="R21" s="14">
        <f ca="1">R14+R16</f>
        <v>411880.8726499998</v>
      </c>
      <c r="S21" s="14">
        <f t="shared" ref="S21:V21" si="13">S14+S16</f>
        <v>506486.35962499958</v>
      </c>
      <c r="T21" s="14">
        <f t="shared" si="13"/>
        <v>553051.77845590014</v>
      </c>
      <c r="U21" s="14">
        <f t="shared" si="13"/>
        <v>602816.50714145612</v>
      </c>
      <c r="V21" s="14">
        <f t="shared" si="13"/>
        <v>655983.86679076368</v>
      </c>
      <c r="W21" s="14"/>
      <c r="X21" s="14"/>
      <c r="Y21" s="14"/>
      <c r="Z21" s="14"/>
      <c r="AA21" s="15">
        <v>299555.12436151732</v>
      </c>
      <c r="AB21" s="15">
        <f>AB14-AB20+AB16</f>
        <v>752854.35231405555</v>
      </c>
      <c r="AC21" s="15">
        <f>AC14-AC20+AC16</f>
        <v>119899.67078186128</v>
      </c>
      <c r="AD21" s="15"/>
      <c r="AE21" s="21"/>
    </row>
    <row r="22" spans="1:31" ht="12" customHeight="1" x14ac:dyDescent="0.2">
      <c r="A22" s="151"/>
      <c r="B22" s="151"/>
      <c r="C22" s="151"/>
      <c r="D22" s="18"/>
      <c r="E22" s="18"/>
      <c r="F22" s="18"/>
      <c r="G22" s="18"/>
      <c r="H22" s="18"/>
      <c r="I22" s="18"/>
      <c r="J22" s="18"/>
      <c r="K22" s="18"/>
      <c r="L22" s="18"/>
      <c r="M22" s="20"/>
      <c r="N22" s="20"/>
      <c r="O22" s="20"/>
      <c r="P22" s="20"/>
      <c r="Q22" s="20"/>
      <c r="R22" s="14"/>
      <c r="S22" s="14"/>
      <c r="T22" s="14"/>
      <c r="U22" s="14"/>
      <c r="V22" s="15"/>
      <c r="W22" s="14"/>
      <c r="X22" s="14"/>
      <c r="Y22" s="14"/>
      <c r="Z22" s="14"/>
      <c r="AA22" s="15"/>
      <c r="AB22" s="15"/>
      <c r="AC22" s="15"/>
      <c r="AD22" s="15"/>
      <c r="AE22" s="21"/>
    </row>
    <row r="23" spans="1:31" ht="12" customHeight="1" x14ac:dyDescent="0.2">
      <c r="A23" s="151" t="s">
        <v>26</v>
      </c>
      <c r="B23" s="151"/>
      <c r="C23" s="151"/>
      <c r="D23" s="24"/>
      <c r="E23" s="24"/>
      <c r="F23" s="24"/>
      <c r="G23" s="24"/>
      <c r="H23" s="24"/>
      <c r="I23" s="24"/>
      <c r="J23" s="24"/>
      <c r="K23" s="24">
        <v>41333</v>
      </c>
      <c r="L23" s="24">
        <v>-60764</v>
      </c>
      <c r="M23" s="24">
        <v>-73769</v>
      </c>
      <c r="N23" s="145" t="s">
        <v>27</v>
      </c>
      <c r="O23" s="24">
        <v>-21477</v>
      </c>
      <c r="P23" s="146">
        <v>-143882</v>
      </c>
      <c r="Q23" s="25">
        <v>-10284</v>
      </c>
      <c r="R23" s="14">
        <f ca="1">R21*(-0.22)</f>
        <v>-90613.791982999959</v>
      </c>
      <c r="S23" s="14">
        <f t="shared" ref="S23:V23" si="14">S21*(-0.22)</f>
        <v>-111426.9991174999</v>
      </c>
      <c r="T23" s="14">
        <f t="shared" si="14"/>
        <v>-121671.39126029803</v>
      </c>
      <c r="U23" s="14">
        <f t="shared" si="14"/>
        <v>-132619.63157112035</v>
      </c>
      <c r="V23" s="14">
        <f t="shared" si="14"/>
        <v>-144316.45069396801</v>
      </c>
      <c r="W23" s="14"/>
      <c r="X23" s="14"/>
      <c r="Y23" s="14"/>
      <c r="Z23" s="14"/>
      <c r="AA23" s="15">
        <v>-65902.127359533813</v>
      </c>
      <c r="AB23" s="15">
        <v>-65902.127359533813</v>
      </c>
      <c r="AC23" s="15">
        <v>-65902.127359533813</v>
      </c>
      <c r="AD23" s="15"/>
      <c r="AE23" s="21"/>
    </row>
    <row r="24" spans="1:31" ht="12" customHeight="1" x14ac:dyDescent="0.2">
      <c r="A24" s="151" t="s">
        <v>28</v>
      </c>
      <c r="B24" s="151"/>
      <c r="C24" s="151"/>
      <c r="D24" s="34"/>
      <c r="E24" s="34"/>
      <c r="F24" s="34"/>
      <c r="G24" s="34"/>
      <c r="H24" s="34"/>
      <c r="I24" s="34"/>
      <c r="J24" s="34"/>
      <c r="K24" s="34" t="s">
        <v>29</v>
      </c>
      <c r="L24" s="35">
        <v>334325</v>
      </c>
      <c r="M24" s="35">
        <v>733611</v>
      </c>
      <c r="N24" s="35" t="s">
        <v>30</v>
      </c>
      <c r="O24" s="35">
        <v>103152</v>
      </c>
      <c r="P24" s="35">
        <v>-70322</v>
      </c>
      <c r="Q24" s="35">
        <v>55615</v>
      </c>
      <c r="R24" s="14">
        <f ca="1">R21+R23</f>
        <v>321267.08066699986</v>
      </c>
      <c r="S24" s="14">
        <f t="shared" ref="S24:V24" si="15">S21+S23</f>
        <v>395059.36050749966</v>
      </c>
      <c r="T24" s="14">
        <f t="shared" si="15"/>
        <v>431380.38719560212</v>
      </c>
      <c r="U24" s="14">
        <f t="shared" si="15"/>
        <v>470196.87557033577</v>
      </c>
      <c r="V24" s="14">
        <f t="shared" si="15"/>
        <v>511667.4160967957</v>
      </c>
      <c r="W24" s="14"/>
      <c r="X24" s="14"/>
      <c r="Y24" s="14"/>
      <c r="Z24" s="14"/>
      <c r="AA24" s="15">
        <v>233652.99700198352</v>
      </c>
      <c r="AB24" s="15">
        <f>AB21+AB23</f>
        <v>686952.22495452175</v>
      </c>
      <c r="AC24" s="15">
        <f>AC21+AC23</f>
        <v>53997.543422327464</v>
      </c>
      <c r="AD24" s="15"/>
      <c r="AE24" s="21"/>
    </row>
    <row r="25" spans="1:31" ht="12" customHeight="1" x14ac:dyDescent="0.2">
      <c r="A25" s="14"/>
      <c r="B25" s="36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37"/>
      <c r="P25" s="37"/>
      <c r="Q25" s="37"/>
      <c r="R25" s="14"/>
      <c r="S25" s="14"/>
      <c r="T25" s="14"/>
      <c r="U25" s="14"/>
      <c r="V25" s="15"/>
      <c r="W25" s="14"/>
      <c r="X25" s="14"/>
      <c r="Y25" s="14"/>
      <c r="Z25" s="14"/>
      <c r="AA25" s="15"/>
      <c r="AB25" s="15"/>
      <c r="AC25" s="15"/>
      <c r="AD25" s="15"/>
      <c r="AE25" s="21"/>
    </row>
    <row r="26" spans="1:31" ht="12" customHeight="1" x14ac:dyDescent="0.2">
      <c r="A26" s="14" t="s">
        <v>31</v>
      </c>
      <c r="B26" s="36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37"/>
      <c r="P26" s="37"/>
      <c r="Q26" s="37"/>
      <c r="R26" s="14"/>
      <c r="S26" s="14"/>
      <c r="T26" s="14"/>
      <c r="U26" s="14"/>
      <c r="V26" s="15"/>
      <c r="W26" s="14"/>
      <c r="X26" s="14"/>
      <c r="Y26" s="14"/>
      <c r="Z26" s="14"/>
      <c r="AA26" s="67">
        <f>AA14/AA4</f>
        <v>8.584921054719799E-2</v>
      </c>
      <c r="AB26" s="67">
        <f t="shared" ref="AB26:AC26" si="16">AB14/AB4</f>
        <v>0.19033982870807059</v>
      </c>
      <c r="AC26" s="67">
        <f t="shared" si="16"/>
        <v>5.8718371281932143E-2</v>
      </c>
      <c r="AD26" s="15"/>
      <c r="AE26" s="21"/>
    </row>
    <row r="27" spans="1:31" ht="12" customHeight="1" x14ac:dyDescent="0.2">
      <c r="A27" s="38" t="s">
        <v>32</v>
      </c>
      <c r="B27" s="39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67">
        <v>0.29699999999999999</v>
      </c>
      <c r="O27" s="67">
        <v>0.27300000000000002</v>
      </c>
      <c r="P27" s="67">
        <v>0.14399999999999999</v>
      </c>
      <c r="Q27" s="67">
        <v>0.17100000000000001</v>
      </c>
      <c r="R27" s="68">
        <f>R34/R4</f>
        <v>2.8452242848286756E-2</v>
      </c>
      <c r="S27" s="68">
        <f t="shared" ref="S27:V27" si="17">S34/S4</f>
        <v>2.764699069220317E-2</v>
      </c>
      <c r="T27" s="68">
        <f t="shared" si="17"/>
        <v>2.6864528691480434E-2</v>
      </c>
      <c r="U27" s="68">
        <f t="shared" si="17"/>
        <v>2.6104211841721556E-2</v>
      </c>
      <c r="V27" s="68">
        <f t="shared" si="17"/>
        <v>2.5365413393370943E-2</v>
      </c>
      <c r="W27" s="41"/>
      <c r="X27" s="41"/>
      <c r="Y27" s="41"/>
      <c r="Z27" s="41"/>
      <c r="AA27" s="117">
        <v>2.9280948950664042E-2</v>
      </c>
      <c r="AB27" s="117">
        <v>2.9280948950664042E-2</v>
      </c>
      <c r="AC27" s="117">
        <v>2.9280948950664042E-2</v>
      </c>
      <c r="AD27" s="42"/>
      <c r="AE27" s="21"/>
    </row>
    <row r="28" spans="1:31" ht="12" customHeight="1" x14ac:dyDescent="0.2">
      <c r="A28" s="38" t="s">
        <v>33</v>
      </c>
      <c r="B28" s="39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67">
        <v>0.153</v>
      </c>
      <c r="O28" s="67">
        <v>-0.152</v>
      </c>
      <c r="P28" s="67">
        <v>-0.20399999999999999</v>
      </c>
      <c r="Q28" s="67">
        <v>-0.11799999999999999</v>
      </c>
      <c r="R28" s="68">
        <f>R35/R4</f>
        <v>-1.3882202747470269E-2</v>
      </c>
      <c r="S28" s="68">
        <f t="shared" ref="S28:V28" si="18">S35/S4</f>
        <v>-1.2834489332566854E-2</v>
      </c>
      <c r="T28" s="68">
        <f t="shared" si="18"/>
        <v>-1.1865848628222183E-2</v>
      </c>
      <c r="U28" s="68">
        <f t="shared" si="18"/>
        <v>-1.097031288269598E-2</v>
      </c>
      <c r="V28" s="68">
        <f t="shared" si="18"/>
        <v>-1.0142364740605717E-2</v>
      </c>
      <c r="W28" s="41"/>
      <c r="X28" s="41"/>
      <c r="Y28" s="41"/>
      <c r="Z28" s="41"/>
      <c r="AA28" s="117">
        <v>-1.2933162235206666E-2</v>
      </c>
      <c r="AB28" s="117">
        <v>-1.2933162235206666E-2</v>
      </c>
      <c r="AC28" s="117">
        <v>-1.2933162235206666E-2</v>
      </c>
      <c r="AD28" s="42"/>
      <c r="AE28" s="21"/>
    </row>
    <row r="29" spans="1:31" ht="12" customHeight="1" x14ac:dyDescent="0.2">
      <c r="A29" s="38" t="s">
        <v>34</v>
      </c>
      <c r="B29" s="39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67">
        <v>0.38100000000000001</v>
      </c>
      <c r="O29" s="67">
        <v>0.26500000000000001</v>
      </c>
      <c r="P29" s="67">
        <v>0.26400000000000001</v>
      </c>
      <c r="Q29" s="67">
        <v>0.23100000000000001</v>
      </c>
      <c r="R29" s="68">
        <f>R36/R4</f>
        <v>0.16352170563633744</v>
      </c>
      <c r="S29" s="68">
        <f t="shared" ref="S29:V29" si="19">S36/S4</f>
        <v>0.16506436323668025</v>
      </c>
      <c r="T29" s="68">
        <f t="shared" si="19"/>
        <v>0.16662157421061116</v>
      </c>
      <c r="U29" s="68">
        <f t="shared" si="19"/>
        <v>0.16819347585410752</v>
      </c>
      <c r="V29" s="68">
        <f t="shared" si="19"/>
        <v>0.16978020675839156</v>
      </c>
      <c r="W29" s="41"/>
      <c r="X29" s="41"/>
      <c r="Y29" s="41"/>
      <c r="Z29" s="41"/>
      <c r="AA29" s="117">
        <v>0.18160891131089951</v>
      </c>
      <c r="AB29" s="117">
        <v>0.18160891131089951</v>
      </c>
      <c r="AC29" s="117">
        <v>0.18160891131089951</v>
      </c>
      <c r="AD29" s="42"/>
      <c r="AE29" s="21"/>
    </row>
    <row r="30" spans="1:31" ht="12" customHeight="1" x14ac:dyDescent="0.2">
      <c r="A30" s="14" t="s">
        <v>35</v>
      </c>
      <c r="B30" s="36"/>
      <c r="C30" s="15"/>
      <c r="D30" s="15"/>
      <c r="E30" s="15"/>
      <c r="F30" s="15"/>
      <c r="G30" s="15"/>
      <c r="H30" s="15"/>
      <c r="I30" s="15"/>
      <c r="J30" s="15"/>
      <c r="K30" s="15"/>
      <c r="L30" s="67">
        <v>0.29799999999999999</v>
      </c>
      <c r="M30" s="67">
        <v>0.35299999999999998</v>
      </c>
      <c r="N30" s="67">
        <v>0.36399999999999999</v>
      </c>
      <c r="O30" s="15"/>
      <c r="P30" s="15"/>
      <c r="Q30" s="15"/>
      <c r="R30" s="14"/>
      <c r="S30" s="14"/>
      <c r="T30" s="14"/>
      <c r="U30" s="14"/>
      <c r="V30" s="15"/>
      <c r="W30" s="14"/>
      <c r="X30" s="14"/>
      <c r="Y30" s="14"/>
      <c r="Z30" s="14"/>
      <c r="AA30" s="15"/>
      <c r="AB30" s="15"/>
      <c r="AC30" s="15"/>
      <c r="AD30" s="15"/>
      <c r="AE30" s="21"/>
    </row>
    <row r="31" spans="1:31" ht="12" customHeight="1" x14ac:dyDescent="0.2">
      <c r="A31" s="14" t="s">
        <v>36</v>
      </c>
      <c r="B31" s="36"/>
      <c r="C31" s="15"/>
      <c r="D31" s="15"/>
      <c r="E31" s="15"/>
      <c r="F31" s="15"/>
      <c r="G31" s="15"/>
      <c r="H31" s="15"/>
      <c r="I31" s="15"/>
      <c r="J31" s="15"/>
      <c r="K31" s="15"/>
      <c r="L31" s="67">
        <v>0.17299999999999999</v>
      </c>
      <c r="M31" s="67">
        <v>0.245</v>
      </c>
      <c r="N31" s="67">
        <v>0.23799999999999999</v>
      </c>
      <c r="O31" s="37"/>
      <c r="P31" s="37"/>
      <c r="Q31" s="37"/>
      <c r="R31" s="14"/>
      <c r="S31" s="14"/>
      <c r="T31" s="14"/>
      <c r="U31" s="14"/>
      <c r="V31" s="15"/>
      <c r="W31" s="14"/>
      <c r="X31" s="14"/>
      <c r="Y31" s="14"/>
      <c r="Z31" s="14"/>
      <c r="AA31" s="15"/>
      <c r="AB31" s="15"/>
      <c r="AC31" s="15"/>
      <c r="AD31" s="15"/>
      <c r="AE31" s="21"/>
    </row>
    <row r="32" spans="1:31" ht="12" customHeight="1" x14ac:dyDescent="0.2">
      <c r="A32" s="14"/>
      <c r="B32" s="36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37"/>
      <c r="P32" s="37"/>
      <c r="Q32" s="37"/>
      <c r="R32" s="14"/>
      <c r="S32" s="14"/>
      <c r="T32" s="14"/>
      <c r="U32" s="14"/>
      <c r="V32" s="15"/>
      <c r="W32" s="14"/>
      <c r="X32" s="14"/>
      <c r="Y32" s="14"/>
      <c r="Z32" s="14"/>
      <c r="AA32" s="15"/>
      <c r="AB32" s="15"/>
      <c r="AC32" s="15"/>
      <c r="AD32" s="15"/>
      <c r="AE32" s="21"/>
    </row>
    <row r="33" spans="1:31" ht="12" customHeight="1" x14ac:dyDescent="0.2">
      <c r="A33" s="14" t="s">
        <v>37</v>
      </c>
      <c r="B33" s="36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37"/>
      <c r="P33" s="37"/>
      <c r="Q33" s="37"/>
      <c r="R33" s="14"/>
      <c r="S33" s="14"/>
      <c r="T33" s="14"/>
      <c r="U33" s="14"/>
      <c r="V33" s="15"/>
      <c r="W33" s="14"/>
      <c r="X33" s="14"/>
      <c r="Y33" s="14"/>
      <c r="Z33" s="14"/>
      <c r="AA33" s="15"/>
      <c r="AB33" s="15"/>
      <c r="AC33" s="15"/>
      <c r="AD33" s="15"/>
      <c r="AE33" s="21"/>
    </row>
    <row r="34" spans="1:31" ht="12" customHeight="1" x14ac:dyDescent="0.2">
      <c r="A34" s="38" t="s">
        <v>32</v>
      </c>
      <c r="B34" s="36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24">
        <v>210441</v>
      </c>
      <c r="O34" s="25">
        <v>198820</v>
      </c>
      <c r="P34" s="25">
        <v>82501</v>
      </c>
      <c r="Q34" s="37">
        <v>108895</v>
      </c>
      <c r="R34" s="14">
        <f>Q34*1.03</f>
        <v>112161.85</v>
      </c>
      <c r="S34" s="14">
        <f t="shared" ref="S34:V34" si="20">R34*1.03</f>
        <v>115526.70550000001</v>
      </c>
      <c r="T34" s="14">
        <f t="shared" si="20"/>
        <v>118992.50666500001</v>
      </c>
      <c r="U34" s="14">
        <f t="shared" si="20"/>
        <v>122562.28186495001</v>
      </c>
      <c r="V34" s="14">
        <f t="shared" si="20"/>
        <v>126239.15032089851</v>
      </c>
      <c r="W34" s="14"/>
      <c r="X34" s="14"/>
      <c r="Y34" s="14"/>
      <c r="Z34" s="14"/>
      <c r="AA34" s="15">
        <v>118992.50666500001</v>
      </c>
      <c r="AB34" s="15">
        <f>(AB$6*AB27)*3</f>
        <v>196099.87922784005</v>
      </c>
      <c r="AC34" s="15">
        <f>(AC$6*AC27)/3</f>
        <v>16354.626171052003</v>
      </c>
      <c r="AD34" s="15"/>
      <c r="AE34" s="21"/>
    </row>
    <row r="35" spans="1:31" ht="12" customHeight="1" x14ac:dyDescent="0.2">
      <c r="A35" s="38" t="s">
        <v>33</v>
      </c>
      <c r="B35" s="36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24">
        <v>107814</v>
      </c>
      <c r="O35" s="25">
        <v>-72080</v>
      </c>
      <c r="P35" s="25">
        <v>-88649</v>
      </c>
      <c r="Q35" s="25">
        <v>-55842</v>
      </c>
      <c r="R35" s="14">
        <f>Q35*0.98</f>
        <v>-54725.159999999996</v>
      </c>
      <c r="S35" s="14">
        <f t="shared" ref="S35:V35" si="21">R35*0.98</f>
        <v>-53630.656799999997</v>
      </c>
      <c r="T35" s="14">
        <f t="shared" si="21"/>
        <v>-52558.043663999997</v>
      </c>
      <c r="U35" s="14">
        <f t="shared" si="21"/>
        <v>-51506.882790719996</v>
      </c>
      <c r="V35" s="14">
        <f t="shared" si="21"/>
        <v>-50476.745134905592</v>
      </c>
      <c r="W35" s="14"/>
      <c r="X35" s="14"/>
      <c r="Y35" s="14"/>
      <c r="Z35" s="14"/>
      <c r="AA35" s="15">
        <v>-52558.043663999997</v>
      </c>
      <c r="AB35" s="15">
        <f t="shared" ref="AB35:AB36" si="22">(AB$6*AB28)*3</f>
        <v>-86615.756771795903</v>
      </c>
      <c r="AC35" s="15">
        <f t="shared" ref="AC35" si="23">AC$6*AC28</f>
        <v>-21671.124858975123</v>
      </c>
      <c r="AD35" s="15"/>
      <c r="AE35" s="21"/>
    </row>
    <row r="36" spans="1:31" ht="14" customHeight="1" x14ac:dyDescent="0.2">
      <c r="A36" s="38" t="s">
        <v>34</v>
      </c>
      <c r="B36" s="36"/>
      <c r="C36" s="15"/>
      <c r="D36" s="15"/>
      <c r="E36" s="15"/>
      <c r="F36" s="15"/>
      <c r="G36" s="15"/>
      <c r="H36" s="15"/>
      <c r="I36" s="15"/>
      <c r="J36" s="15"/>
      <c r="K36" s="15"/>
      <c r="L36" s="24"/>
      <c r="M36" s="24"/>
      <c r="N36" s="24">
        <v>1233388</v>
      </c>
      <c r="O36" s="25">
        <v>627708</v>
      </c>
      <c r="P36" s="25">
        <v>729906</v>
      </c>
      <c r="Q36" s="25">
        <v>602449</v>
      </c>
      <c r="R36" s="14">
        <f>Q36*1.07</f>
        <v>644620.43000000005</v>
      </c>
      <c r="S36" s="14">
        <f t="shared" ref="S36:V36" si="24">R36*1.07</f>
        <v>689743.86010000005</v>
      </c>
      <c r="T36" s="14">
        <f t="shared" si="24"/>
        <v>738025.93030700006</v>
      </c>
      <c r="U36" s="14">
        <f t="shared" si="24"/>
        <v>789687.7454284901</v>
      </c>
      <c r="V36" s="14">
        <f t="shared" si="24"/>
        <v>844965.88760848448</v>
      </c>
      <c r="X36" s="14"/>
      <c r="Y36" s="14"/>
      <c r="Z36" s="14"/>
      <c r="AA36" s="15">
        <v>738025.93030700006</v>
      </c>
      <c r="AB36" s="15">
        <f t="shared" si="22"/>
        <v>1216268.1487807194</v>
      </c>
      <c r="AC36" s="15">
        <f t="shared" ref="AC36" si="25">AC$6*AC29</f>
        <v>304308.36024057289</v>
      </c>
      <c r="AD36" s="15"/>
      <c r="AE36" s="21"/>
    </row>
    <row r="37" spans="1:31" ht="17" customHeight="1" x14ac:dyDescent="0.2">
      <c r="A37" s="14" t="s">
        <v>35</v>
      </c>
      <c r="B37" s="36"/>
      <c r="C37" s="15"/>
      <c r="D37" s="15"/>
      <c r="E37" s="15"/>
      <c r="F37" s="15"/>
      <c r="G37" s="15"/>
      <c r="H37" s="15"/>
      <c r="I37" s="15"/>
      <c r="J37" s="15"/>
      <c r="K37" s="15"/>
      <c r="L37" s="24">
        <v>715514</v>
      </c>
      <c r="M37" s="24">
        <v>1008171</v>
      </c>
      <c r="N37" s="15"/>
      <c r="O37" s="37"/>
      <c r="P37" s="37"/>
      <c r="Q37" s="37"/>
      <c r="R37" s="14"/>
      <c r="S37" s="14"/>
      <c r="T37" s="14"/>
      <c r="U37" s="14"/>
      <c r="V37" s="15"/>
      <c r="W37" s="14"/>
      <c r="X37" s="14"/>
      <c r="Y37" s="14"/>
      <c r="Z37" s="14"/>
      <c r="AA37" s="15"/>
      <c r="AB37" s="15"/>
      <c r="AC37" s="15"/>
      <c r="AD37" s="15"/>
      <c r="AE37" s="21"/>
    </row>
    <row r="38" spans="1:31" ht="12" customHeight="1" x14ac:dyDescent="0.2">
      <c r="A38" s="14" t="s">
        <v>36</v>
      </c>
      <c r="B38" s="36"/>
      <c r="C38" s="15"/>
      <c r="D38" s="15"/>
      <c r="E38" s="15"/>
      <c r="F38" s="15"/>
      <c r="G38" s="15"/>
      <c r="H38" s="15"/>
      <c r="I38" s="15"/>
      <c r="J38" s="15"/>
      <c r="K38" s="15"/>
      <c r="L38" s="24">
        <v>145295</v>
      </c>
      <c r="M38" s="24">
        <v>283507</v>
      </c>
      <c r="N38" s="15"/>
      <c r="O38" s="37"/>
      <c r="P38" s="37"/>
      <c r="Q38" s="37"/>
      <c r="R38" s="14"/>
      <c r="S38" s="14"/>
      <c r="T38" s="14"/>
      <c r="U38" s="14"/>
      <c r="V38" s="15"/>
      <c r="W38" s="14"/>
      <c r="X38" s="14"/>
      <c r="Y38" s="14"/>
      <c r="Z38" s="14"/>
      <c r="AA38" s="15"/>
      <c r="AB38" s="15"/>
      <c r="AC38" s="15"/>
      <c r="AD38" s="15"/>
      <c r="AE38" s="21"/>
    </row>
    <row r="39" spans="1:31" ht="12" customHeight="1" x14ac:dyDescent="0.2">
      <c r="A39" s="14"/>
      <c r="B39" s="36"/>
      <c r="C39" s="15"/>
      <c r="D39" s="15"/>
      <c r="E39" s="15"/>
      <c r="F39" s="15"/>
      <c r="G39" s="15"/>
      <c r="H39" s="15"/>
      <c r="I39" s="15"/>
      <c r="J39" s="15"/>
      <c r="K39" s="15"/>
      <c r="L39" s="24"/>
      <c r="M39" s="24"/>
      <c r="N39" s="15"/>
      <c r="O39" s="37"/>
      <c r="P39" s="37"/>
      <c r="Q39" s="37"/>
      <c r="R39" s="14"/>
      <c r="S39" s="14"/>
      <c r="T39" s="14"/>
      <c r="U39" s="14"/>
      <c r="V39" s="15"/>
      <c r="W39" s="14"/>
      <c r="X39" s="14"/>
      <c r="Y39" s="14"/>
      <c r="Z39" s="14"/>
      <c r="AA39" s="15"/>
      <c r="AB39" s="15"/>
      <c r="AC39" s="15"/>
      <c r="AD39" s="15"/>
      <c r="AE39" s="21"/>
    </row>
    <row r="40" spans="1:31" ht="12" customHeight="1" x14ac:dyDescent="0.2">
      <c r="A40" s="14" t="s">
        <v>38</v>
      </c>
      <c r="B40" s="36"/>
      <c r="C40" s="15"/>
      <c r="D40" s="15"/>
      <c r="E40" s="15"/>
      <c r="F40" s="15"/>
      <c r="G40" s="15"/>
      <c r="H40" s="15"/>
      <c r="I40" s="15"/>
      <c r="J40" s="15"/>
      <c r="K40" s="15"/>
      <c r="L40" s="24">
        <f>SUM(L34:L38)</f>
        <v>860809</v>
      </c>
      <c r="M40" s="24">
        <f t="shared" ref="M40:Q40" si="26">SUM(M34:M38)</f>
        <v>1291678</v>
      </c>
      <c r="N40" s="24">
        <f t="shared" si="26"/>
        <v>1551643</v>
      </c>
      <c r="O40" s="24">
        <f t="shared" si="26"/>
        <v>754448</v>
      </c>
      <c r="P40" s="24">
        <f t="shared" si="26"/>
        <v>723758</v>
      </c>
      <c r="Q40" s="24">
        <f t="shared" si="26"/>
        <v>655502</v>
      </c>
      <c r="R40" s="14">
        <f>SUM(R34:R36)</f>
        <v>702057.12000000011</v>
      </c>
      <c r="S40" s="14">
        <f t="shared" ref="S40:V40" si="27">SUM(S34:S36)</f>
        <v>751639.90880000009</v>
      </c>
      <c r="T40" s="14">
        <f t="shared" si="27"/>
        <v>804460.39330800006</v>
      </c>
      <c r="U40" s="14">
        <f t="shared" si="27"/>
        <v>860743.1445027201</v>
      </c>
      <c r="V40" s="14">
        <f t="shared" si="27"/>
        <v>920728.29279447743</v>
      </c>
      <c r="W40" s="14"/>
      <c r="X40" s="14"/>
      <c r="Y40" s="14"/>
      <c r="Z40" s="14"/>
      <c r="AA40" s="15">
        <v>804460.39330800006</v>
      </c>
      <c r="AB40" s="15">
        <f>SUM(AB34:AB36)</f>
        <v>1325752.2712367636</v>
      </c>
      <c r="AC40" s="15">
        <f>SUM(AC34:AC36)</f>
        <v>298991.86155264976</v>
      </c>
      <c r="AD40" s="15"/>
      <c r="AE40" s="21"/>
    </row>
    <row r="41" spans="1:31" ht="12" customHeight="1" x14ac:dyDescent="0.2">
      <c r="A41" s="14"/>
      <c r="B41" s="36"/>
      <c r="C41" s="15"/>
      <c r="D41" s="15"/>
      <c r="E41" s="15"/>
      <c r="F41" s="15"/>
      <c r="G41" s="15"/>
      <c r="H41" s="15"/>
      <c r="I41" s="15"/>
      <c r="J41" s="15"/>
      <c r="K41" s="15"/>
      <c r="L41" s="24"/>
      <c r="M41" s="24"/>
      <c r="N41" s="15"/>
      <c r="O41" s="37"/>
      <c r="P41" s="37"/>
      <c r="Q41" s="37"/>
      <c r="R41" s="14"/>
      <c r="S41" s="14"/>
      <c r="T41" s="14"/>
      <c r="U41" s="14"/>
      <c r="V41" s="15"/>
      <c r="W41" s="14"/>
      <c r="X41" s="14"/>
      <c r="Y41" s="14"/>
      <c r="Z41" s="99"/>
      <c r="AA41" s="67"/>
      <c r="AB41" s="15"/>
      <c r="AC41" s="15"/>
      <c r="AD41" s="15"/>
      <c r="AE41" s="21"/>
    </row>
    <row r="42" spans="1:31" ht="12" customHeight="1" x14ac:dyDescent="0.2">
      <c r="A42" s="14" t="s">
        <v>39</v>
      </c>
      <c r="B42" s="36"/>
      <c r="C42" s="15"/>
      <c r="D42" s="15"/>
      <c r="E42" s="15"/>
      <c r="F42" s="15"/>
      <c r="G42" s="15"/>
      <c r="H42" s="15"/>
      <c r="I42" s="15"/>
      <c r="J42" s="15"/>
      <c r="K42" s="67">
        <f>K6/K4</f>
        <v>0.38674993730432883</v>
      </c>
      <c r="L42" s="67">
        <f t="shared" ref="L42:V42" si="28">L6/L4</f>
        <v>0.40805972941591612</v>
      </c>
      <c r="M42" s="67">
        <f t="shared" si="28"/>
        <v>0.46909638540714321</v>
      </c>
      <c r="N42" s="67">
        <f t="shared" si="28"/>
        <v>0.49210261329044364</v>
      </c>
      <c r="O42" s="67">
        <f t="shared" si="28"/>
        <v>0.36335024467704508</v>
      </c>
      <c r="P42" s="67">
        <f t="shared" si="28"/>
        <v>0.39487800258177064</v>
      </c>
      <c r="Q42" s="67">
        <f t="shared" si="28"/>
        <v>0.41290695732771243</v>
      </c>
      <c r="R42" s="67">
        <f t="shared" si="28"/>
        <v>0.44999999999999996</v>
      </c>
      <c r="S42" s="67">
        <f t="shared" si="28"/>
        <v>0.4499999999999999</v>
      </c>
      <c r="T42" s="67">
        <f t="shared" si="28"/>
        <v>0.44999999999999996</v>
      </c>
      <c r="U42" s="67">
        <f t="shared" si="28"/>
        <v>0.44999999999999996</v>
      </c>
      <c r="V42" s="67">
        <f t="shared" si="28"/>
        <v>0.45</v>
      </c>
      <c r="W42" s="14"/>
      <c r="X42" s="14"/>
      <c r="Y42" s="14"/>
      <c r="Z42" s="99"/>
      <c r="AA42" s="67">
        <v>0.44999999999999996</v>
      </c>
      <c r="AB42" s="67">
        <v>0.48</v>
      </c>
      <c r="AC42" s="67">
        <v>0.39</v>
      </c>
      <c r="AD42" s="15"/>
      <c r="AE42" s="21"/>
    </row>
    <row r="43" spans="1:31" ht="12" customHeight="1" x14ac:dyDescent="0.2">
      <c r="A43" s="14" t="s">
        <v>40</v>
      </c>
      <c r="B43" s="36"/>
      <c r="C43" s="15"/>
      <c r="D43" s="15"/>
      <c r="E43" s="15"/>
      <c r="F43" s="15"/>
      <c r="G43" s="15"/>
      <c r="H43" s="15"/>
      <c r="I43" s="15"/>
      <c r="J43" s="15"/>
      <c r="L43" s="67">
        <f>(L16+L14+L158+L159)/L4</f>
        <v>0.256782585259487</v>
      </c>
      <c r="M43" s="67">
        <f t="shared" ref="M43:V43" si="29">(M16+M14+M158+M159)/M4</f>
        <v>0.3206561789671375</v>
      </c>
      <c r="N43" s="67">
        <f t="shared" si="29"/>
        <v>0.3280783104599207</v>
      </c>
      <c r="O43" s="67">
        <f t="shared" si="29"/>
        <v>0.12706704966298249</v>
      </c>
      <c r="P43" s="67">
        <f t="shared" si="29"/>
        <v>0.17742218741660049</v>
      </c>
      <c r="Q43" s="67">
        <f t="shared" si="29"/>
        <v>0.13622155160661376</v>
      </c>
      <c r="R43" s="67">
        <f t="shared" ca="1" si="29"/>
        <v>0.17820005137300526</v>
      </c>
      <c r="S43" s="67">
        <f t="shared" si="29"/>
        <v>0.18930030175683527</v>
      </c>
      <c r="T43" s="67">
        <f t="shared" si="29"/>
        <v>0.1877622849983771</v>
      </c>
      <c r="U43" s="67">
        <f t="shared" si="29"/>
        <v>0.18650550789601089</v>
      </c>
      <c r="V43" s="67">
        <f t="shared" si="29"/>
        <v>0.18550265916906139</v>
      </c>
      <c r="W43" s="14"/>
      <c r="X43" s="14"/>
      <c r="Y43" s="14"/>
      <c r="Z43" s="99"/>
      <c r="AA43" s="67">
        <v>0.15080338302460561</v>
      </c>
      <c r="AB43" s="67">
        <v>0.2</v>
      </c>
      <c r="AC43" s="67">
        <v>0.09</v>
      </c>
      <c r="AD43" s="15"/>
      <c r="AE43" s="21"/>
    </row>
    <row r="44" spans="1:31" ht="12" customHeight="1" x14ac:dyDescent="0.2">
      <c r="A44" s="14" t="s">
        <v>41</v>
      </c>
      <c r="B44" s="36"/>
      <c r="C44" s="15"/>
      <c r="D44" s="15"/>
      <c r="E44" s="15"/>
      <c r="F44" s="15"/>
      <c r="G44" s="15"/>
      <c r="H44" s="15"/>
      <c r="I44" s="15"/>
      <c r="J44" s="15"/>
      <c r="K44" s="67">
        <f>K14/K4</f>
        <v>7.0046354347843676E-2</v>
      </c>
      <c r="L44" s="67">
        <f t="shared" ref="L44:V44" si="30">L14/L4</f>
        <v>0.13065686242124069</v>
      </c>
      <c r="M44" s="67">
        <f t="shared" si="30"/>
        <v>0.22579269779371788</v>
      </c>
      <c r="N44" s="67">
        <f>N14/N4</f>
        <v>0.26391400762078765</v>
      </c>
      <c r="O44" s="67">
        <f t="shared" si="30"/>
        <v>5.1316201971256227E-2</v>
      </c>
      <c r="P44" s="67">
        <f t="shared" si="30"/>
        <v>0.11065269560520663</v>
      </c>
      <c r="Q44" s="67">
        <f t="shared" si="30"/>
        <v>7.7466589548560616E-2</v>
      </c>
      <c r="R44" s="67">
        <f t="shared" ca="1" si="30"/>
        <v>0.1245506200530829</v>
      </c>
      <c r="S44" s="67">
        <f t="shared" si="30"/>
        <v>0.14033018867924518</v>
      </c>
      <c r="T44" s="67">
        <f t="shared" si="30"/>
        <v>0.14308027767888928</v>
      </c>
      <c r="U44" s="67">
        <f t="shared" si="30"/>
        <v>0.14575253397099619</v>
      </c>
      <c r="V44" s="67">
        <f t="shared" si="30"/>
        <v>0.14834916036804349</v>
      </c>
      <c r="W44" s="14"/>
      <c r="X44" s="14"/>
      <c r="Y44" s="14"/>
      <c r="Z44" s="99"/>
      <c r="AA44" s="67">
        <v>9.3571206119260883E-2</v>
      </c>
      <c r="AB44" s="67">
        <v>0.14000000000000001</v>
      </c>
      <c r="AC44" s="67">
        <v>0.05</v>
      </c>
      <c r="AD44" s="15"/>
      <c r="AE44" s="21"/>
    </row>
    <row r="45" spans="1:31" ht="12" customHeight="1" x14ac:dyDescent="0.2">
      <c r="A45" s="14" t="s">
        <v>42</v>
      </c>
      <c r="B45" s="36"/>
      <c r="C45" s="15"/>
      <c r="D45" s="15"/>
      <c r="E45" s="15"/>
      <c r="F45" s="15"/>
      <c r="G45" s="15"/>
      <c r="H45" s="15"/>
      <c r="I45" s="15"/>
      <c r="J45" s="15"/>
      <c r="K45" s="15"/>
      <c r="L45" s="67">
        <f>L24/L4</f>
        <v>0.10321409287215345</v>
      </c>
      <c r="M45" s="67">
        <f t="shared" ref="M45:V45" si="31">M24/M4</f>
        <v>0.18270358904063874</v>
      </c>
      <c r="N45" s="67">
        <f>1033353/4645714</f>
        <v>0.22243147124424792</v>
      </c>
      <c r="O45" s="67">
        <f t="shared" si="31"/>
        <v>2.8898982713896654E-2</v>
      </c>
      <c r="P45" s="67">
        <f t="shared" si="31"/>
        <v>-1.8655494911004253E-2</v>
      </c>
      <c r="Q45" s="67">
        <f t="shared" si="31"/>
        <v>1.495440539869765E-2</v>
      </c>
      <c r="R45" s="67">
        <f t="shared" ca="1" si="31"/>
        <v>8.1496239570741841E-2</v>
      </c>
      <c r="S45" s="67">
        <f t="shared" si="31"/>
        <v>9.4542663668519294E-2</v>
      </c>
      <c r="T45" s="67">
        <f t="shared" si="31"/>
        <v>9.7391265328868687E-2</v>
      </c>
      <c r="U45" s="67">
        <f t="shared" si="31"/>
        <v>0.10014597199429061</v>
      </c>
      <c r="V45" s="67">
        <f t="shared" si="31"/>
        <v>0.10281006721149159</v>
      </c>
      <c r="W45" s="14"/>
      <c r="X45" s="14"/>
      <c r="Y45" s="14"/>
      <c r="Z45" s="99"/>
      <c r="AA45" s="67">
        <v>5.749590179359667E-2</v>
      </c>
      <c r="AB45" s="67">
        <v>0.11</v>
      </c>
      <c r="AC45" s="67">
        <v>0.02</v>
      </c>
      <c r="AD45" s="15"/>
      <c r="AE45" s="21"/>
    </row>
    <row r="46" spans="1:31" ht="12" customHeight="1" x14ac:dyDescent="0.2">
      <c r="A46" s="14" t="s">
        <v>43</v>
      </c>
      <c r="B46" s="36"/>
      <c r="C46" s="15"/>
      <c r="D46" s="15"/>
      <c r="E46" s="15"/>
      <c r="F46" s="15"/>
      <c r="G46" s="15"/>
      <c r="H46" s="15"/>
      <c r="I46" s="15"/>
      <c r="J46" s="15"/>
      <c r="K46" s="15"/>
      <c r="L46" s="24">
        <f>L24/L123</f>
        <v>7.788285365850818E-2</v>
      </c>
      <c r="M46" s="67">
        <f>M24/((L123+M123)/2)</f>
        <v>0.16444824026657431</v>
      </c>
      <c r="N46" s="67">
        <f>1033353/((M123+N123)/2)</f>
        <v>0.22506657397004326</v>
      </c>
      <c r="O46" s="67">
        <f t="shared" ref="O46:V46" si="32">O24/((N123+O123)/2)</f>
        <v>2.4397316370884999E-2</v>
      </c>
      <c r="P46" s="67">
        <f t="shared" si="32"/>
        <v>-1.8855191049508752E-2</v>
      </c>
      <c r="Q46" s="67">
        <f t="shared" si="32"/>
        <v>1.6007347578332817E-2</v>
      </c>
      <c r="R46" s="67">
        <f t="shared" ca="1" si="32"/>
        <v>9.7481997334672832E-2</v>
      </c>
      <c r="S46" s="67">
        <f t="shared" si="32"/>
        <v>0.12714788046196107</v>
      </c>
      <c r="T46" s="67">
        <f t="shared" si="32"/>
        <v>0.1473545451955946</v>
      </c>
      <c r="U46" s="67">
        <f t="shared" si="32"/>
        <v>0.17061252368192861</v>
      </c>
      <c r="V46" s="67">
        <f t="shared" si="32"/>
        <v>0.19744023419780379</v>
      </c>
      <c r="W46" s="14"/>
      <c r="X46" s="14"/>
      <c r="Y46" s="14"/>
      <c r="Z46" s="99"/>
      <c r="AA46" s="67">
        <v>7.9813158244496835E-2</v>
      </c>
      <c r="AB46" s="67">
        <v>0.12</v>
      </c>
      <c r="AC46" s="67">
        <v>0.03</v>
      </c>
      <c r="AD46" s="15"/>
      <c r="AE46" s="21"/>
    </row>
    <row r="47" spans="1:31" ht="12" customHeight="1" x14ac:dyDescent="0.2">
      <c r="A47" s="14" t="s">
        <v>44</v>
      </c>
      <c r="B47" s="36"/>
      <c r="C47" s="15"/>
      <c r="D47" s="15"/>
      <c r="E47" s="15"/>
      <c r="F47" s="15"/>
      <c r="G47" s="15"/>
      <c r="H47" s="15"/>
      <c r="I47" s="15"/>
      <c r="J47" s="15"/>
      <c r="K47" s="67">
        <f>K9/K4</f>
        <v>0.14577172303883895</v>
      </c>
      <c r="L47" s="67">
        <f t="shared" ref="L47:R47" si="33">L9/L4</f>
        <v>0.14955014307805681</v>
      </c>
      <c r="M47" s="67">
        <f t="shared" si="33"/>
        <v>0.14205514049112558</v>
      </c>
      <c r="N47" s="67">
        <f t="shared" si="33"/>
        <v>0.13423899964569494</v>
      </c>
      <c r="O47" s="67">
        <f t="shared" si="33"/>
        <v>0.18205894045468157</v>
      </c>
      <c r="P47" s="67">
        <f t="shared" si="33"/>
        <v>0.18099162065267968</v>
      </c>
      <c r="Q47" s="67">
        <f t="shared" si="33"/>
        <v>0.20105265676984305</v>
      </c>
      <c r="R47" s="67">
        <f t="shared" ca="1" si="33"/>
        <v>0.20294937994691703</v>
      </c>
      <c r="S47" s="67">
        <v>0.19</v>
      </c>
      <c r="T47" s="67">
        <v>0.19</v>
      </c>
      <c r="U47" s="67">
        <v>0.19</v>
      </c>
      <c r="V47" s="67">
        <v>0.19</v>
      </c>
      <c r="W47" s="14"/>
      <c r="X47" s="14"/>
      <c r="Y47" s="14"/>
      <c r="Z47" s="99"/>
      <c r="AA47" s="67">
        <v>0.19</v>
      </c>
      <c r="AB47" s="67">
        <v>0.19</v>
      </c>
      <c r="AC47" s="67">
        <v>0.19</v>
      </c>
      <c r="AD47" s="15"/>
      <c r="AE47" s="21"/>
    </row>
    <row r="48" spans="1:31" ht="12" customHeight="1" x14ac:dyDescent="0.2">
      <c r="A48" s="14" t="s">
        <v>45</v>
      </c>
      <c r="B48" s="36"/>
      <c r="C48" s="15"/>
      <c r="D48" s="15"/>
      <c r="E48" s="15"/>
      <c r="F48" s="15"/>
      <c r="G48" s="15"/>
      <c r="H48" s="15"/>
      <c r="I48" s="15"/>
      <c r="J48" s="15"/>
      <c r="K48" s="15"/>
      <c r="L48" s="24"/>
      <c r="M48" s="24"/>
      <c r="N48" s="15"/>
      <c r="O48" s="37"/>
      <c r="P48" s="37"/>
      <c r="Q48" s="37"/>
      <c r="R48" s="99">
        <v>0.1</v>
      </c>
      <c r="S48" s="99">
        <v>0.1</v>
      </c>
      <c r="T48" s="99">
        <v>9.5000000000000001E-2</v>
      </c>
      <c r="U48" s="99">
        <v>0.09</v>
      </c>
      <c r="V48" s="67">
        <v>0.09</v>
      </c>
      <c r="W48" s="14"/>
      <c r="X48" s="14"/>
      <c r="Y48" s="14"/>
      <c r="Z48" s="99"/>
      <c r="AA48" s="67">
        <v>9.5000000000000001E-2</v>
      </c>
      <c r="AB48" s="67">
        <v>0.08</v>
      </c>
      <c r="AC48" s="67">
        <v>0.12</v>
      </c>
      <c r="AD48" s="15"/>
      <c r="AE48" s="21"/>
    </row>
    <row r="49" spans="1:31" ht="12" customHeight="1" x14ac:dyDescent="0.2">
      <c r="A49" s="14"/>
      <c r="B49" s="36"/>
      <c r="C49" s="15"/>
      <c r="D49" s="15"/>
      <c r="E49" s="15"/>
      <c r="F49" s="15"/>
      <c r="G49" s="15"/>
      <c r="H49" s="15"/>
      <c r="I49" s="15"/>
      <c r="J49" s="15"/>
      <c r="K49" s="15"/>
      <c r="L49" s="24"/>
      <c r="M49" s="24"/>
      <c r="N49" s="15"/>
      <c r="O49" s="37"/>
      <c r="P49" s="37"/>
      <c r="Q49" s="37"/>
      <c r="R49" s="14"/>
      <c r="S49" s="14"/>
      <c r="T49" s="14"/>
      <c r="U49" s="14"/>
      <c r="V49" s="15"/>
      <c r="W49" s="14"/>
      <c r="X49" s="14"/>
      <c r="Y49" s="14"/>
      <c r="Z49" s="99"/>
      <c r="AA49" s="67"/>
      <c r="AB49" s="15"/>
      <c r="AC49" s="15"/>
      <c r="AD49" s="15"/>
      <c r="AE49" s="21"/>
    </row>
    <row r="50" spans="1:31" ht="12" customHeight="1" x14ac:dyDescent="0.2">
      <c r="A50" s="14" t="s">
        <v>46</v>
      </c>
      <c r="B50" s="36"/>
      <c r="C50" s="15"/>
      <c r="D50" s="15"/>
      <c r="E50" s="15"/>
      <c r="F50" s="15"/>
      <c r="G50" s="15"/>
      <c r="H50" s="15"/>
      <c r="I50" s="15"/>
      <c r="J50" s="15"/>
      <c r="K50" s="15"/>
      <c r="L50" s="67">
        <f t="shared" ref="L50:R50" si="34">(L176-(L88-K88))/L4</f>
        <v>-9.6802516469644273E-2</v>
      </c>
      <c r="M50" s="67">
        <f t="shared" si="34"/>
        <v>0.32252203878806779</v>
      </c>
      <c r="N50" s="67">
        <f t="shared" si="34"/>
        <v>0.22852956510021927</v>
      </c>
      <c r="O50" s="67">
        <f t="shared" si="34"/>
        <v>0.26531525335217498</v>
      </c>
      <c r="P50" s="67">
        <f t="shared" si="34"/>
        <v>0.29500231595333715</v>
      </c>
      <c r="Q50" s="67">
        <f t="shared" si="34"/>
        <v>0.18588179364668345</v>
      </c>
      <c r="R50" s="67">
        <f t="shared" si="34"/>
        <v>0.46533258150544737</v>
      </c>
      <c r="S50" s="67">
        <f t="shared" ref="S50:V50" si="35">(S176-(S88-R88))/S4</f>
        <v>-1.4161070475331937E-2</v>
      </c>
      <c r="T50" s="67">
        <f t="shared" si="35"/>
        <v>0.43512522915802682</v>
      </c>
      <c r="U50" s="67">
        <f t="shared" si="35"/>
        <v>8.8081576166859025E-3</v>
      </c>
      <c r="V50" s="67">
        <f t="shared" si="35"/>
        <v>0.409033201362756</v>
      </c>
      <c r="W50" s="14"/>
      <c r="X50" s="14"/>
      <c r="Y50" s="14"/>
      <c r="Z50" s="99"/>
      <c r="AA50" s="67">
        <v>0.44791580054823477</v>
      </c>
      <c r="AB50" s="67">
        <v>0.49</v>
      </c>
      <c r="AC50" s="67">
        <v>0.4</v>
      </c>
      <c r="AD50" s="15"/>
      <c r="AE50" s="21"/>
    </row>
    <row r="51" spans="1:31" ht="12" customHeight="1" x14ac:dyDescent="0.2">
      <c r="A51" s="14"/>
      <c r="B51" s="36"/>
      <c r="C51" s="15"/>
      <c r="D51" s="15"/>
      <c r="E51" s="15"/>
      <c r="F51" s="15"/>
      <c r="G51" s="15"/>
      <c r="H51" s="15"/>
      <c r="I51" s="15"/>
      <c r="J51" s="15"/>
      <c r="K51" s="15"/>
      <c r="L51" s="24"/>
      <c r="M51" s="24"/>
      <c r="N51" s="15"/>
      <c r="O51" s="37"/>
      <c r="P51" s="37"/>
      <c r="Q51" s="37"/>
      <c r="R51" s="14"/>
      <c r="S51" s="14"/>
      <c r="T51" s="14"/>
      <c r="U51" s="14"/>
      <c r="V51" s="15"/>
      <c r="W51" s="14"/>
      <c r="X51" s="14"/>
      <c r="Y51" s="14"/>
      <c r="Z51" s="99"/>
      <c r="AA51" s="67"/>
      <c r="AB51" s="15"/>
      <c r="AC51" s="15"/>
      <c r="AD51" s="15"/>
      <c r="AE51" s="21"/>
    </row>
    <row r="52" spans="1:31" ht="12" customHeight="1" x14ac:dyDescent="0.2">
      <c r="A52" s="14" t="s">
        <v>47</v>
      </c>
      <c r="B52" s="36"/>
      <c r="C52" s="15"/>
      <c r="D52" s="15"/>
      <c r="E52" s="15"/>
      <c r="F52" s="15"/>
      <c r="G52" s="15"/>
      <c r="H52" s="15"/>
      <c r="I52" s="15"/>
      <c r="J52" s="15"/>
      <c r="K52" s="15"/>
      <c r="L52" s="24">
        <f>(L16+L14+L158+L159)</f>
        <v>831755</v>
      </c>
      <c r="M52" s="24">
        <f t="shared" ref="M52:V52" si="36">(M16+M14+M158+M159)</f>
        <v>1287533</v>
      </c>
      <c r="N52" s="24">
        <f t="shared" si="36"/>
        <v>1524158</v>
      </c>
      <c r="O52" s="24">
        <f t="shared" si="36"/>
        <v>453553</v>
      </c>
      <c r="P52" s="24">
        <f t="shared" si="36"/>
        <v>668794</v>
      </c>
      <c r="Q52" s="24">
        <f t="shared" si="36"/>
        <v>506604</v>
      </c>
      <c r="R52" s="24">
        <f t="shared" ca="1" si="36"/>
        <v>702484.07264999975</v>
      </c>
      <c r="S52" s="24">
        <f t="shared" si="36"/>
        <v>791017.02082499955</v>
      </c>
      <c r="T52" s="24">
        <f t="shared" si="36"/>
        <v>831665.62144790008</v>
      </c>
      <c r="U52" s="24">
        <f t="shared" si="36"/>
        <v>875664.84545541601</v>
      </c>
      <c r="V52" s="24">
        <f t="shared" si="36"/>
        <v>923213.73646090773</v>
      </c>
      <c r="W52" s="14"/>
      <c r="X52" s="14"/>
      <c r="Y52" s="14"/>
      <c r="Z52" s="14"/>
      <c r="AA52" s="15">
        <f>AA43*AA$4</f>
        <v>667961.56246547797</v>
      </c>
      <c r="AB52" s="15">
        <f>AB$4*AB43</f>
        <v>930164.33255256026</v>
      </c>
      <c r="AC52" s="15">
        <f>AC$4*AC43</f>
        <v>386682.60110399284</v>
      </c>
      <c r="AD52" s="15"/>
      <c r="AE52" s="21"/>
    </row>
    <row r="53" spans="1:31" ht="12" customHeight="1" x14ac:dyDescent="0.2">
      <c r="A53" s="14" t="s">
        <v>48</v>
      </c>
      <c r="B53" s="36"/>
      <c r="C53" s="15"/>
      <c r="D53" s="15"/>
      <c r="E53" s="15"/>
      <c r="F53" s="15"/>
      <c r="G53" s="15"/>
      <c r="H53" s="15"/>
      <c r="I53" s="15"/>
      <c r="J53" s="15"/>
      <c r="K53" s="15"/>
      <c r="L53" s="24"/>
      <c r="M53" s="24"/>
      <c r="N53" s="15"/>
      <c r="O53" s="37"/>
      <c r="P53" s="37"/>
      <c r="Q53" s="37"/>
      <c r="R53" s="99">
        <v>0.22</v>
      </c>
      <c r="S53" s="99">
        <v>0.22</v>
      </c>
      <c r="T53" s="99">
        <v>0.22</v>
      </c>
      <c r="U53" s="99">
        <v>0.22</v>
      </c>
      <c r="V53" s="99">
        <v>0.22</v>
      </c>
      <c r="W53" s="14"/>
      <c r="X53" s="14"/>
      <c r="Y53" s="14"/>
      <c r="Z53" s="14"/>
      <c r="AA53" s="67">
        <v>0.22</v>
      </c>
      <c r="AB53" s="67">
        <v>0.22</v>
      </c>
      <c r="AC53" s="67">
        <v>0.22</v>
      </c>
      <c r="AD53" s="15"/>
      <c r="AE53" s="21"/>
    </row>
    <row r="54" spans="1:31" ht="12" customHeight="1" x14ac:dyDescent="0.2">
      <c r="A54" s="14"/>
      <c r="B54" s="36"/>
      <c r="C54" s="15"/>
      <c r="D54" s="15"/>
      <c r="E54" s="15"/>
      <c r="F54" s="15"/>
      <c r="G54" s="15"/>
      <c r="H54" s="15"/>
      <c r="I54" s="15"/>
      <c r="J54" s="15"/>
      <c r="K54" s="15"/>
      <c r="L54" s="24"/>
      <c r="M54" s="24"/>
      <c r="N54" s="15"/>
      <c r="O54" s="37"/>
      <c r="P54" s="37"/>
      <c r="Q54" s="37"/>
      <c r="R54" s="14"/>
      <c r="S54" s="14"/>
      <c r="T54" s="14"/>
      <c r="U54" s="14"/>
      <c r="V54" s="15"/>
      <c r="W54" s="14"/>
      <c r="X54" s="14"/>
      <c r="Y54" s="14"/>
      <c r="Z54" s="14"/>
      <c r="AA54" s="15"/>
      <c r="AB54" s="15"/>
      <c r="AC54" s="15"/>
      <c r="AD54" s="15"/>
      <c r="AE54" s="21"/>
    </row>
    <row r="55" spans="1:31" ht="12" customHeight="1" x14ac:dyDescent="0.2">
      <c r="A55" s="14"/>
      <c r="B55" s="36"/>
      <c r="C55" s="15"/>
      <c r="D55" s="15"/>
      <c r="E55" s="15"/>
      <c r="F55" s="15"/>
      <c r="G55" s="15"/>
      <c r="H55" s="15"/>
      <c r="I55" s="15"/>
      <c r="J55" s="15"/>
      <c r="K55" s="15"/>
      <c r="L55" s="24"/>
      <c r="M55" s="24"/>
      <c r="N55" s="15"/>
      <c r="O55" s="37"/>
      <c r="P55" s="37"/>
      <c r="Q55" s="37"/>
      <c r="R55" s="14"/>
      <c r="S55" s="14"/>
      <c r="T55" s="14"/>
      <c r="U55" s="14"/>
      <c r="V55" s="15"/>
      <c r="W55" s="14"/>
      <c r="X55" s="14"/>
      <c r="Y55" s="14"/>
      <c r="Z55" s="14"/>
      <c r="AA55" s="15"/>
      <c r="AB55" s="15"/>
      <c r="AC55" s="15"/>
      <c r="AD55" s="15"/>
      <c r="AE55" s="21"/>
    </row>
    <row r="56" spans="1:31" ht="12" customHeight="1" x14ac:dyDescent="0.2">
      <c r="A56" s="14"/>
      <c r="B56" s="36"/>
      <c r="C56" s="15"/>
      <c r="D56" s="15"/>
      <c r="E56" s="15"/>
      <c r="F56" s="15"/>
      <c r="G56" s="15"/>
      <c r="H56" s="15"/>
      <c r="I56" s="15"/>
      <c r="J56" s="15"/>
      <c r="K56" s="15"/>
      <c r="L56" s="24"/>
      <c r="M56" s="24"/>
      <c r="N56" s="15"/>
      <c r="O56" s="37"/>
      <c r="P56" s="37"/>
      <c r="Q56" s="37"/>
      <c r="R56" s="14"/>
      <c r="S56" s="14"/>
      <c r="T56" s="14"/>
      <c r="U56" s="14"/>
      <c r="V56" s="15"/>
      <c r="W56" s="14"/>
      <c r="X56" s="14"/>
      <c r="Y56" s="14"/>
      <c r="Z56" s="14"/>
      <c r="AA56" s="15"/>
      <c r="AB56" s="15"/>
      <c r="AC56" s="15"/>
      <c r="AD56" s="15"/>
      <c r="AE56" s="21"/>
    </row>
    <row r="57" spans="1:31" ht="12" customHeight="1" x14ac:dyDescent="0.2">
      <c r="A57" s="14"/>
      <c r="B57" s="36"/>
      <c r="C57" s="15"/>
      <c r="D57" s="15"/>
      <c r="E57" s="15"/>
      <c r="F57" s="15"/>
      <c r="G57" s="15"/>
      <c r="H57" s="15"/>
      <c r="I57" s="15"/>
      <c r="J57" s="15"/>
      <c r="K57" s="15"/>
      <c r="L57" s="24"/>
      <c r="M57" s="24"/>
      <c r="N57" s="15">
        <v>9.26</v>
      </c>
      <c r="O57" s="37">
        <v>1</v>
      </c>
      <c r="P57" s="37">
        <v>-0.72</v>
      </c>
      <c r="Q57" s="37">
        <v>0.6</v>
      </c>
      <c r="R57" s="14">
        <v>1.55</v>
      </c>
      <c r="S57" s="14">
        <v>3.2</v>
      </c>
      <c r="T57" s="14">
        <v>4.1500000000000004</v>
      </c>
      <c r="U57" s="14">
        <v>4.6500000000000004</v>
      </c>
      <c r="V57" s="15">
        <v>5.0999999999999996</v>
      </c>
      <c r="W57" s="14"/>
      <c r="X57" s="14"/>
      <c r="Y57" s="14"/>
      <c r="Z57" s="14"/>
      <c r="AA57" s="15">
        <v>4.1500000000000004</v>
      </c>
      <c r="AB57" s="15">
        <v>6.2</v>
      </c>
      <c r="AC57" s="15">
        <v>1.2</v>
      </c>
      <c r="AD57" s="15"/>
      <c r="AE57" s="21"/>
    </row>
    <row r="58" spans="1:31" ht="12" customHeight="1" x14ac:dyDescent="0.2">
      <c r="A58" s="21" t="s">
        <v>49</v>
      </c>
      <c r="B58" s="36"/>
      <c r="C58" s="15"/>
      <c r="D58" s="15"/>
      <c r="E58" s="15"/>
      <c r="F58" s="15"/>
      <c r="G58" s="15"/>
      <c r="H58" s="15"/>
      <c r="I58" s="15"/>
      <c r="J58" s="15"/>
      <c r="K58" s="15"/>
      <c r="L58" s="24"/>
      <c r="M58" s="24"/>
      <c r="N58" s="15"/>
      <c r="O58" s="37"/>
      <c r="P58" s="37">
        <v>-0.72</v>
      </c>
      <c r="Q58" s="37">
        <v>0.59</v>
      </c>
      <c r="R58" s="14">
        <v>1.55</v>
      </c>
      <c r="S58" s="14">
        <v>3.2</v>
      </c>
      <c r="T58" s="14">
        <v>4.0999999999999996</v>
      </c>
      <c r="U58" s="14">
        <v>4.5999999999999996</v>
      </c>
      <c r="V58" s="15">
        <v>5.05</v>
      </c>
      <c r="W58" s="14"/>
      <c r="X58" s="14"/>
      <c r="Y58" s="14"/>
      <c r="Z58" s="14"/>
      <c r="AA58" s="15">
        <v>4.0999999999999996</v>
      </c>
      <c r="AB58" s="15">
        <v>6.1</v>
      </c>
      <c r="AC58" s="15">
        <v>1.1000000000000001</v>
      </c>
      <c r="AD58" s="15"/>
      <c r="AE58" s="21"/>
    </row>
    <row r="59" spans="1:31" ht="12" customHeight="1" x14ac:dyDescent="0.2">
      <c r="A59" s="21" t="s">
        <v>50</v>
      </c>
      <c r="B59" s="36"/>
      <c r="C59" s="15"/>
      <c r="D59" s="15"/>
      <c r="E59" s="15"/>
      <c r="F59" s="15"/>
      <c r="G59" s="15"/>
      <c r="H59" s="15"/>
      <c r="I59" s="15"/>
      <c r="J59" s="15"/>
      <c r="K59" s="15"/>
      <c r="L59" s="24"/>
      <c r="M59" s="24"/>
      <c r="N59" s="15"/>
      <c r="O59" s="37"/>
      <c r="P59" s="37">
        <v>5.38</v>
      </c>
      <c r="Q59" s="37">
        <v>5.82</v>
      </c>
      <c r="R59" s="14">
        <v>3.14</v>
      </c>
      <c r="S59" s="14">
        <v>8.6999999999999993</v>
      </c>
      <c r="T59" s="14">
        <v>10.3</v>
      </c>
      <c r="U59" s="14">
        <v>11.5</v>
      </c>
      <c r="V59" s="15">
        <v>12.8</v>
      </c>
      <c r="W59" s="14"/>
      <c r="X59" s="14"/>
      <c r="Y59" s="14"/>
      <c r="Z59" s="14"/>
      <c r="AA59" s="15">
        <v>10.3</v>
      </c>
      <c r="AB59" s="15">
        <v>12.3</v>
      </c>
      <c r="AC59" s="15">
        <v>5.3</v>
      </c>
      <c r="AD59" s="15"/>
      <c r="AE59" s="21"/>
    </row>
    <row r="60" spans="1:31" ht="12" customHeight="1" x14ac:dyDescent="0.2">
      <c r="A60" s="21" t="s">
        <v>51</v>
      </c>
      <c r="B60" s="36"/>
      <c r="C60" s="15"/>
      <c r="D60" s="15"/>
      <c r="E60" s="15"/>
      <c r="F60" s="15"/>
      <c r="G60" s="15"/>
      <c r="H60" s="15"/>
      <c r="I60" s="15"/>
      <c r="J60" s="15"/>
      <c r="K60" s="15"/>
      <c r="L60" s="24"/>
      <c r="M60" s="24"/>
      <c r="N60" s="15"/>
      <c r="O60" s="37"/>
      <c r="P60" s="37"/>
      <c r="Q60" s="37"/>
      <c r="R60" s="14"/>
      <c r="S60" s="14"/>
      <c r="T60" s="14"/>
      <c r="U60" s="14"/>
      <c r="V60" s="15"/>
      <c r="W60" s="14"/>
      <c r="X60" s="14"/>
      <c r="Y60" s="14"/>
      <c r="Z60" s="14"/>
      <c r="AA60" s="15"/>
      <c r="AB60" s="15"/>
      <c r="AC60" s="15"/>
      <c r="AD60" s="15"/>
      <c r="AE60" s="21"/>
    </row>
    <row r="61" spans="1:31" ht="12" customHeight="1" x14ac:dyDescent="0.2">
      <c r="B61" s="36"/>
      <c r="C61" s="15"/>
      <c r="D61" s="15"/>
      <c r="E61" s="15"/>
      <c r="F61" s="15"/>
      <c r="G61" s="15"/>
      <c r="H61" s="15"/>
      <c r="I61" s="15"/>
      <c r="J61" s="15"/>
      <c r="K61" s="15"/>
      <c r="L61" s="24"/>
      <c r="M61" s="24"/>
      <c r="N61" s="15"/>
      <c r="O61" s="37"/>
      <c r="P61" s="37"/>
      <c r="Q61" s="37"/>
      <c r="R61" s="14"/>
      <c r="S61" s="14"/>
      <c r="T61" s="14"/>
      <c r="U61" s="14"/>
      <c r="V61" s="15"/>
      <c r="W61" s="14"/>
      <c r="X61" s="14"/>
      <c r="Y61" s="14"/>
      <c r="Z61" s="14"/>
      <c r="AA61" s="15"/>
      <c r="AB61" s="15"/>
      <c r="AC61" s="15"/>
      <c r="AD61" s="15"/>
      <c r="AE61" s="21"/>
    </row>
    <row r="62" spans="1:31" ht="12" customHeight="1" x14ac:dyDescent="0.2">
      <c r="A62" s="21" t="s">
        <v>52</v>
      </c>
      <c r="B62" s="36"/>
      <c r="C62" s="15"/>
      <c r="D62" s="15"/>
      <c r="E62" s="15"/>
      <c r="F62" s="15"/>
      <c r="G62" s="15"/>
      <c r="H62" s="15"/>
      <c r="I62" s="15"/>
      <c r="J62" s="15"/>
      <c r="K62" s="15"/>
      <c r="L62" s="24"/>
      <c r="M62" s="24"/>
      <c r="N62" s="15"/>
      <c r="O62" s="37"/>
      <c r="P62" s="37">
        <v>97557</v>
      </c>
      <c r="Q62" s="37">
        <v>93750</v>
      </c>
      <c r="R62" s="14">
        <v>92800</v>
      </c>
      <c r="S62" s="14">
        <v>91500</v>
      </c>
      <c r="T62" s="14">
        <v>90000</v>
      </c>
      <c r="U62" s="14">
        <v>88500</v>
      </c>
      <c r="V62" s="15">
        <v>87000</v>
      </c>
      <c r="W62" s="14"/>
      <c r="X62" s="14"/>
      <c r="Y62" s="14"/>
      <c r="Z62" s="14"/>
      <c r="AA62" s="15">
        <v>90000</v>
      </c>
      <c r="AB62" s="15">
        <f>90000*0.97</f>
        <v>87300</v>
      </c>
      <c r="AC62" s="15">
        <f>90000*1.01</f>
        <v>90900</v>
      </c>
      <c r="AD62" s="15"/>
      <c r="AE62" s="21"/>
    </row>
    <row r="63" spans="1:31" ht="12" customHeight="1" x14ac:dyDescent="0.2">
      <c r="A63" s="21" t="s">
        <v>53</v>
      </c>
      <c r="B63" s="36"/>
      <c r="C63" s="15"/>
      <c r="D63" s="15"/>
      <c r="E63" s="15"/>
      <c r="F63" s="15"/>
      <c r="G63" s="15"/>
      <c r="H63" s="15"/>
      <c r="I63" s="15"/>
      <c r="J63" s="15"/>
      <c r="K63" s="15"/>
      <c r="L63" s="24"/>
      <c r="M63" s="24"/>
      <c r="N63" s="15"/>
      <c r="O63" s="37"/>
      <c r="P63" s="37" t="s">
        <v>54</v>
      </c>
      <c r="Q63" s="37">
        <v>94920</v>
      </c>
      <c r="R63" s="14">
        <v>93800</v>
      </c>
      <c r="S63" s="14">
        <v>92300</v>
      </c>
      <c r="T63" s="14">
        <v>91000</v>
      </c>
      <c r="U63" s="14">
        <v>89500</v>
      </c>
      <c r="V63" s="15">
        <v>88000</v>
      </c>
      <c r="W63" s="14"/>
      <c r="X63" s="14"/>
      <c r="Y63" s="14"/>
      <c r="Z63" s="14"/>
      <c r="AA63" s="15">
        <v>91000</v>
      </c>
      <c r="AB63" s="15">
        <f>91000*0.97</f>
        <v>88270</v>
      </c>
      <c r="AC63" s="15">
        <f>91000*1.01</f>
        <v>91910</v>
      </c>
      <c r="AD63" s="15"/>
      <c r="AE63" s="21"/>
    </row>
    <row r="64" spans="1:31" ht="12" customHeight="1" x14ac:dyDescent="0.2">
      <c r="A64" s="21" t="s">
        <v>55</v>
      </c>
      <c r="B64" s="36"/>
      <c r="C64" s="15"/>
      <c r="D64" s="15"/>
      <c r="E64" s="15"/>
      <c r="F64" s="15"/>
      <c r="G64" s="15"/>
      <c r="H64" s="15"/>
      <c r="I64" s="15"/>
      <c r="J64" s="15"/>
      <c r="K64" s="15"/>
      <c r="L64" s="24"/>
      <c r="M64" s="24"/>
      <c r="N64" s="15"/>
      <c r="O64" s="37"/>
      <c r="P64" s="37">
        <v>98223</v>
      </c>
      <c r="Q64" s="37">
        <v>95300</v>
      </c>
      <c r="R64" s="14" t="s">
        <v>56</v>
      </c>
      <c r="S64" s="14">
        <v>92300</v>
      </c>
      <c r="T64" s="14">
        <v>91000</v>
      </c>
      <c r="U64" s="14">
        <v>89500</v>
      </c>
      <c r="V64" s="15">
        <v>88000</v>
      </c>
      <c r="W64" s="14"/>
      <c r="X64" s="14"/>
      <c r="Y64" s="14"/>
      <c r="Z64" s="14"/>
      <c r="AA64" s="15">
        <v>91000</v>
      </c>
      <c r="AB64" s="15">
        <f>91000*0.97</f>
        <v>88270</v>
      </c>
      <c r="AC64" s="15">
        <f>91000*1.01</f>
        <v>91910</v>
      </c>
      <c r="AD64" s="15"/>
      <c r="AE64" s="21"/>
    </row>
    <row r="65" spans="1:31" ht="12" customHeight="1" x14ac:dyDescent="0.2">
      <c r="A65" s="14"/>
      <c r="B65" s="36"/>
      <c r="C65" s="15"/>
      <c r="D65" s="15"/>
      <c r="E65" s="15"/>
      <c r="F65" s="15"/>
      <c r="G65" s="15"/>
      <c r="H65" s="15"/>
      <c r="I65" s="15"/>
      <c r="J65" s="15"/>
      <c r="K65" s="15"/>
      <c r="L65" s="24"/>
      <c r="M65" s="24"/>
      <c r="N65" s="15"/>
      <c r="O65" s="37"/>
      <c r="P65" s="37"/>
      <c r="Q65" s="37"/>
      <c r="R65" s="14"/>
      <c r="S65" s="14"/>
      <c r="T65" s="14"/>
      <c r="U65" s="14"/>
      <c r="V65" s="15"/>
      <c r="W65" s="14"/>
      <c r="X65" s="14"/>
      <c r="Y65" s="14"/>
      <c r="Z65" s="14"/>
      <c r="AA65" s="15"/>
      <c r="AB65" s="15"/>
      <c r="AC65" s="15"/>
      <c r="AD65" s="15"/>
      <c r="AE65" s="21"/>
    </row>
    <row r="66" spans="1:31" ht="12" customHeight="1" x14ac:dyDescent="0.2">
      <c r="A66" s="14"/>
      <c r="B66" s="36"/>
      <c r="C66" s="15"/>
      <c r="D66" s="15"/>
      <c r="E66" s="15"/>
      <c r="F66" s="15"/>
      <c r="G66" s="15"/>
      <c r="H66" s="15"/>
      <c r="I66" s="15"/>
      <c r="J66" s="15"/>
      <c r="K66" s="15"/>
      <c r="L66" s="24"/>
      <c r="M66" s="24"/>
      <c r="N66" s="15"/>
      <c r="O66" s="37"/>
      <c r="P66" s="37"/>
      <c r="Q66" s="37"/>
      <c r="R66" s="14"/>
      <c r="S66" s="14"/>
      <c r="T66" s="14"/>
      <c r="U66" s="14"/>
      <c r="V66" s="15"/>
      <c r="W66" s="14"/>
      <c r="X66" s="14"/>
      <c r="Y66" s="14"/>
      <c r="Z66" s="14"/>
      <c r="AA66" s="15"/>
      <c r="AB66" s="15"/>
      <c r="AC66" s="15"/>
      <c r="AD66" s="15"/>
      <c r="AE66" s="21"/>
    </row>
    <row r="67" spans="1:31" ht="12" customHeight="1" x14ac:dyDescent="0.2">
      <c r="A67" s="14"/>
      <c r="B67" s="36"/>
      <c r="C67" s="15"/>
      <c r="D67" s="15"/>
      <c r="E67" s="15"/>
      <c r="F67" s="15"/>
      <c r="G67" s="15"/>
      <c r="H67" s="15"/>
      <c r="I67" s="15"/>
      <c r="J67" s="15"/>
      <c r="K67" s="15"/>
      <c r="L67" s="24"/>
      <c r="M67" s="24"/>
      <c r="N67" s="15"/>
      <c r="O67" s="37"/>
      <c r="P67" s="37"/>
      <c r="Q67" s="37"/>
      <c r="R67" s="14"/>
      <c r="S67" s="14"/>
      <c r="T67" s="14"/>
      <c r="U67" s="14"/>
      <c r="V67" s="15"/>
      <c r="W67" s="14"/>
      <c r="X67" s="14"/>
      <c r="Y67" s="14"/>
      <c r="Z67" s="14"/>
      <c r="AA67" s="15"/>
      <c r="AB67" s="15"/>
      <c r="AC67" s="15"/>
      <c r="AD67" s="15"/>
      <c r="AE67" s="21"/>
    </row>
    <row r="68" spans="1:31" ht="12" customHeight="1" x14ac:dyDescent="0.2">
      <c r="A68" s="14"/>
      <c r="B68" s="36"/>
      <c r="C68" s="15"/>
      <c r="D68" s="15"/>
      <c r="E68" s="15"/>
      <c r="F68" s="15"/>
      <c r="G68" s="15"/>
      <c r="H68" s="15"/>
      <c r="I68" s="15"/>
      <c r="J68" s="15"/>
      <c r="K68" s="15"/>
      <c r="L68" s="24"/>
      <c r="M68" s="24"/>
      <c r="N68" s="15"/>
      <c r="O68" s="37"/>
      <c r="P68" s="37"/>
      <c r="Q68" s="37"/>
      <c r="R68" s="14"/>
      <c r="S68" s="14"/>
      <c r="T68" s="14"/>
      <c r="U68" s="14"/>
      <c r="V68" s="15"/>
      <c r="W68" s="14"/>
      <c r="X68" s="14"/>
      <c r="Y68" s="14"/>
      <c r="Z68" s="14"/>
      <c r="AA68" s="15"/>
      <c r="AB68" s="15"/>
      <c r="AC68" s="15"/>
      <c r="AD68" s="15"/>
      <c r="AE68" s="21"/>
    </row>
    <row r="69" spans="1:31" ht="12" customHeight="1" x14ac:dyDescent="0.2">
      <c r="A69" s="14"/>
      <c r="B69" s="36"/>
      <c r="C69" s="15"/>
      <c r="D69" s="15"/>
      <c r="E69" s="15"/>
      <c r="F69" s="15"/>
      <c r="G69" s="15"/>
      <c r="H69" s="15"/>
      <c r="I69" s="15"/>
      <c r="J69" s="15"/>
      <c r="K69" s="15"/>
      <c r="L69" s="24"/>
      <c r="M69" s="24"/>
      <c r="N69" s="15"/>
      <c r="O69" s="37"/>
      <c r="P69" s="37"/>
      <c r="Q69" s="37"/>
      <c r="R69" s="14"/>
      <c r="S69" s="14"/>
      <c r="T69" s="14"/>
      <c r="U69" s="14"/>
      <c r="V69" s="15"/>
      <c r="W69" s="14"/>
      <c r="X69" s="14"/>
      <c r="Y69" s="14"/>
      <c r="Z69" s="14"/>
      <c r="AA69" s="15"/>
      <c r="AB69" s="15"/>
      <c r="AC69" s="15"/>
      <c r="AD69" s="15"/>
      <c r="AE69" s="21"/>
    </row>
    <row r="70" spans="1:31" ht="12" customHeight="1" x14ac:dyDescent="0.2">
      <c r="A70" s="14"/>
      <c r="B70" s="36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37"/>
      <c r="P70" s="37"/>
      <c r="Q70" s="37"/>
      <c r="R70" s="14"/>
      <c r="S70" s="14"/>
      <c r="T70" s="14"/>
      <c r="U70" s="14"/>
      <c r="V70" s="15"/>
      <c r="W70" s="14"/>
      <c r="X70" s="14"/>
      <c r="Y70" s="14"/>
      <c r="Z70" s="14"/>
      <c r="AA70" s="15"/>
      <c r="AB70" s="15"/>
      <c r="AC70" s="15"/>
      <c r="AD70" s="15"/>
      <c r="AE70" s="21"/>
    </row>
    <row r="71" spans="1:31" ht="13" customHeight="1" x14ac:dyDescent="0.2">
      <c r="A71" s="14"/>
      <c r="B71" s="36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37"/>
      <c r="P71" s="37"/>
      <c r="Q71" s="37"/>
      <c r="R71" s="14"/>
      <c r="S71" s="14"/>
      <c r="T71" s="14"/>
      <c r="U71" s="14"/>
      <c r="V71" s="15"/>
      <c r="W71" s="14"/>
      <c r="X71" s="14"/>
      <c r="Y71" s="14"/>
      <c r="Z71" s="14"/>
      <c r="AA71" s="15"/>
      <c r="AB71" s="15"/>
      <c r="AC71" s="15"/>
      <c r="AD71" s="15"/>
      <c r="AE71" s="21"/>
    </row>
    <row r="72" spans="1:31" ht="12" customHeight="1" x14ac:dyDescent="0.2">
      <c r="A72" s="14"/>
      <c r="B72" s="36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37"/>
      <c r="P72" s="37"/>
      <c r="Q72" s="37"/>
      <c r="R72" s="14"/>
      <c r="S72" s="14"/>
      <c r="T72" s="14"/>
      <c r="U72" s="14"/>
      <c r="V72" s="15"/>
      <c r="W72" s="14"/>
      <c r="X72" s="14"/>
      <c r="Y72" s="14"/>
      <c r="Z72" s="14"/>
      <c r="AA72" s="15"/>
      <c r="AB72" s="15"/>
      <c r="AC72" s="15"/>
      <c r="AD72" s="15"/>
      <c r="AE72" s="21"/>
    </row>
    <row r="73" spans="1:31" ht="12" customHeight="1" x14ac:dyDescent="0.2">
      <c r="A73" s="14"/>
      <c r="B73" s="36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37"/>
      <c r="P73" s="37"/>
      <c r="Q73" s="37"/>
      <c r="R73" s="14"/>
      <c r="S73" s="14"/>
      <c r="T73" s="14"/>
      <c r="U73" s="14"/>
      <c r="V73" s="15"/>
      <c r="W73" s="14"/>
      <c r="X73" s="14"/>
      <c r="Y73" s="14"/>
      <c r="Z73" s="14"/>
      <c r="AA73" s="15"/>
      <c r="AB73" s="15"/>
      <c r="AC73" s="15"/>
      <c r="AD73" s="15"/>
      <c r="AE73" s="21"/>
    </row>
    <row r="74" spans="1:31" ht="12" customHeight="1" x14ac:dyDescent="0.2">
      <c r="A74" s="14"/>
      <c r="B74" s="36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7"/>
      <c r="P74" s="37"/>
      <c r="Q74" s="37"/>
      <c r="R74" s="14"/>
      <c r="S74" s="14"/>
      <c r="T74" s="14"/>
      <c r="U74" s="14"/>
      <c r="V74" s="15"/>
      <c r="W74" s="14"/>
      <c r="X74" s="14"/>
      <c r="Y74" s="14"/>
      <c r="Z74" s="14"/>
      <c r="AA74" s="15"/>
      <c r="AB74" s="15"/>
      <c r="AC74" s="15"/>
      <c r="AD74" s="15"/>
      <c r="AE74" s="21"/>
    </row>
    <row r="75" spans="1:31" ht="12" customHeight="1" x14ac:dyDescent="0.2">
      <c r="A75" s="43" t="s">
        <v>57</v>
      </c>
      <c r="B75" s="44"/>
      <c r="C75" s="45"/>
      <c r="D75" s="45"/>
      <c r="E75" s="45"/>
      <c r="F75" s="45"/>
      <c r="G75" s="45"/>
      <c r="H75" s="45"/>
      <c r="I75" s="45"/>
      <c r="J75" s="45"/>
      <c r="K75" s="46"/>
      <c r="L75" s="46"/>
      <c r="M75" s="46"/>
      <c r="N75" s="46"/>
      <c r="O75" s="47"/>
      <c r="P75" s="47"/>
      <c r="Q75" s="47"/>
      <c r="R75" s="14"/>
      <c r="S75" s="14"/>
      <c r="T75" s="14"/>
      <c r="U75" s="14"/>
      <c r="V75" s="15"/>
      <c r="W75" s="14"/>
      <c r="X75" s="14"/>
      <c r="Y75" s="14"/>
      <c r="Z75" s="14"/>
      <c r="AA75" s="15"/>
      <c r="AB75" s="15"/>
      <c r="AC75" s="15"/>
      <c r="AD75" s="15"/>
      <c r="AE75" s="21"/>
    </row>
    <row r="76" spans="1:31" ht="12" customHeight="1" x14ac:dyDescent="0.2">
      <c r="A76" s="48" t="s">
        <v>58</v>
      </c>
      <c r="B76" s="36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4"/>
      <c r="S76" s="14"/>
      <c r="T76" s="14"/>
      <c r="U76" s="14"/>
      <c r="V76" s="15"/>
      <c r="W76" s="14"/>
      <c r="X76" s="14"/>
      <c r="Y76" s="14"/>
      <c r="Z76" s="14"/>
      <c r="AA76" s="15"/>
      <c r="AB76" s="15"/>
      <c r="AC76" s="15"/>
      <c r="AD76" s="15"/>
      <c r="AE76" s="21"/>
    </row>
    <row r="77" spans="1:31" ht="12" customHeight="1" x14ac:dyDescent="0.2">
      <c r="A77" s="151" t="s">
        <v>59</v>
      </c>
      <c r="B77" s="151"/>
      <c r="C77" s="151"/>
      <c r="D77" s="24"/>
      <c r="E77" s="24"/>
      <c r="F77" s="24"/>
      <c r="G77" s="24"/>
      <c r="H77" s="24"/>
      <c r="I77" s="24"/>
      <c r="J77" s="24"/>
      <c r="K77" s="24"/>
      <c r="L77" s="25"/>
      <c r="M77" s="25"/>
      <c r="N77" s="25"/>
      <c r="O77" s="25"/>
      <c r="P77" s="25"/>
      <c r="Q77" s="25"/>
      <c r="R77" s="49"/>
      <c r="S77" s="49"/>
      <c r="T77" s="49"/>
      <c r="U77" s="49"/>
      <c r="V77" s="24"/>
      <c r="W77" s="49"/>
      <c r="X77" s="49"/>
      <c r="Y77" s="49"/>
      <c r="Z77" s="49"/>
      <c r="AA77" s="24"/>
      <c r="AB77" s="24"/>
      <c r="AC77" s="24"/>
      <c r="AD77" s="24"/>
      <c r="AE77" s="21"/>
    </row>
    <row r="78" spans="1:31" ht="12" customHeight="1" x14ac:dyDescent="0.2">
      <c r="D78" s="24"/>
      <c r="E78" s="24"/>
      <c r="F78" s="24"/>
      <c r="G78" s="24"/>
      <c r="H78" s="24"/>
      <c r="I78" s="24"/>
      <c r="J78" s="24"/>
      <c r="K78" s="24"/>
      <c r="L78" s="25">
        <v>714939</v>
      </c>
      <c r="M78" s="25">
        <v>1397880</v>
      </c>
      <c r="N78" s="25">
        <v>972592</v>
      </c>
      <c r="O78" s="25">
        <v>808757</v>
      </c>
      <c r="P78" s="25">
        <v>1029258</v>
      </c>
      <c r="Q78" s="25">
        <v>1021176</v>
      </c>
      <c r="R78" s="49">
        <f>Q78*1.02</f>
        <v>1041599.52</v>
      </c>
      <c r="S78" s="49">
        <f t="shared" ref="S78:V78" si="37">R78*1.02</f>
        <v>1062431.5104</v>
      </c>
      <c r="T78" s="49">
        <f t="shared" si="37"/>
        <v>1083680.1406080001</v>
      </c>
      <c r="U78" s="49">
        <f t="shared" si="37"/>
        <v>1105353.7434201601</v>
      </c>
      <c r="V78" s="49">
        <f t="shared" si="37"/>
        <v>1127460.8182885633</v>
      </c>
      <c r="W78" s="49"/>
      <c r="X78" s="49"/>
      <c r="Y78" s="49"/>
      <c r="Z78" s="49"/>
      <c r="AA78" s="24">
        <v>1083680.1406080001</v>
      </c>
      <c r="AB78" s="24">
        <f>AA78*1.04</f>
        <v>1127027.3462323202</v>
      </c>
      <c r="AC78" s="24">
        <f>AA78*0.95</f>
        <v>1029496.1335776</v>
      </c>
      <c r="AD78" s="24"/>
      <c r="AE78" s="21"/>
    </row>
    <row r="79" spans="1:31" ht="12" customHeight="1" x14ac:dyDescent="0.2">
      <c r="A79" s="151" t="s">
        <v>60</v>
      </c>
      <c r="B79" s="151"/>
      <c r="C79" s="151"/>
      <c r="D79" s="24"/>
      <c r="E79" s="24"/>
      <c r="F79" s="24"/>
      <c r="G79" s="24"/>
      <c r="H79" s="24"/>
      <c r="I79" s="24"/>
      <c r="J79" s="24"/>
      <c r="K79" s="24"/>
      <c r="L79" s="25">
        <v>367172</v>
      </c>
      <c r="M79" s="25">
        <v>457431</v>
      </c>
      <c r="N79" s="25">
        <v>568850</v>
      </c>
      <c r="O79" s="25">
        <v>304519</v>
      </c>
      <c r="P79" s="25">
        <v>412960</v>
      </c>
      <c r="Q79" s="25">
        <v>386719</v>
      </c>
      <c r="R79" s="49">
        <f>Q79*1.01</f>
        <v>390586.19</v>
      </c>
      <c r="S79" s="49">
        <f t="shared" ref="S79:V79" si="38">R79*1.01</f>
        <v>394492.05190000002</v>
      </c>
      <c r="T79" s="49">
        <f t="shared" si="38"/>
        <v>398436.972419</v>
      </c>
      <c r="U79" s="49">
        <f t="shared" si="38"/>
        <v>402421.34214318998</v>
      </c>
      <c r="V79" s="49">
        <f t="shared" si="38"/>
        <v>406445.55556462187</v>
      </c>
      <c r="W79" s="49"/>
      <c r="X79" s="49"/>
      <c r="Y79" s="49"/>
      <c r="Z79" s="49"/>
      <c r="AA79" s="24">
        <v>398436.972419</v>
      </c>
      <c r="AB79" s="24">
        <f>AB$4*AB128</f>
        <v>455989.51027998503</v>
      </c>
      <c r="AC79" s="24">
        <f>AC$4*AC128</f>
        <v>421247.45235389087</v>
      </c>
      <c r="AD79" s="24"/>
      <c r="AE79" s="21"/>
    </row>
    <row r="80" spans="1:31" ht="12" customHeight="1" x14ac:dyDescent="0.2">
      <c r="A80" s="151" t="s">
        <v>61</v>
      </c>
      <c r="B80" s="151"/>
      <c r="C80" s="151"/>
      <c r="D80" s="24"/>
      <c r="E80" s="24"/>
      <c r="F80" s="24"/>
      <c r="G80" s="24"/>
      <c r="H80" s="24"/>
      <c r="I80" s="24"/>
      <c r="J80" s="24"/>
      <c r="K80" s="24"/>
      <c r="L80" s="24">
        <v>517198</v>
      </c>
      <c r="M80" s="24">
        <v>507787</v>
      </c>
      <c r="N80" s="25">
        <v>755748</v>
      </c>
      <c r="O80" s="25">
        <v>796596</v>
      </c>
      <c r="P80" s="25">
        <v>710555</v>
      </c>
      <c r="Q80" s="25">
        <v>640992</v>
      </c>
      <c r="R80" s="49">
        <f>Q80*0.99</f>
        <v>634582.07999999996</v>
      </c>
      <c r="S80" s="49">
        <f t="shared" ref="S80:V80" si="39">R80*0.99</f>
        <v>628236.25919999997</v>
      </c>
      <c r="T80" s="49">
        <f t="shared" si="39"/>
        <v>621953.89660799992</v>
      </c>
      <c r="U80" s="49">
        <f t="shared" si="39"/>
        <v>615734.35764191987</v>
      </c>
      <c r="V80" s="49">
        <f t="shared" si="39"/>
        <v>609577.0140655007</v>
      </c>
      <c r="W80" s="49"/>
      <c r="X80" s="49"/>
      <c r="Y80" s="49"/>
      <c r="Z80" s="49"/>
      <c r="AA80" s="24">
        <v>621953.89660799992</v>
      </c>
      <c r="AB80" s="24">
        <v>621953.89660799992</v>
      </c>
      <c r="AC80" s="24">
        <v>621953.89660799992</v>
      </c>
      <c r="AD80" s="24"/>
      <c r="AE80" s="21"/>
    </row>
    <row r="81" spans="1:31" ht="12" customHeight="1" x14ac:dyDescent="0.2">
      <c r="A81" s="151" t="s">
        <v>62</v>
      </c>
      <c r="B81" s="151"/>
      <c r="C81" s="151"/>
      <c r="D81" s="24"/>
      <c r="E81" s="24"/>
      <c r="F81" s="24"/>
      <c r="G81" s="24"/>
      <c r="H81" s="24"/>
      <c r="I81" s="24"/>
      <c r="J81" s="24"/>
      <c r="K81" s="24"/>
      <c r="L81" s="24">
        <v>37872</v>
      </c>
      <c r="M81" s="24">
        <v>41572</v>
      </c>
      <c r="N81" s="24">
        <v>49839</v>
      </c>
      <c r="O81" s="24">
        <v>46684</v>
      </c>
      <c r="P81" s="24">
        <v>40563</v>
      </c>
      <c r="Q81" s="24">
        <v>32808</v>
      </c>
      <c r="R81" s="49">
        <f>Q81*0.9</f>
        <v>29527.200000000001</v>
      </c>
      <c r="S81" s="49">
        <f t="shared" ref="S81:V81" si="40">R81*0.9</f>
        <v>26574.48</v>
      </c>
      <c r="T81" s="49">
        <f t="shared" si="40"/>
        <v>23917.031999999999</v>
      </c>
      <c r="U81" s="49">
        <f t="shared" si="40"/>
        <v>21525.328799999999</v>
      </c>
      <c r="V81" s="49">
        <f t="shared" si="40"/>
        <v>19372.79592</v>
      </c>
      <c r="W81" s="49"/>
      <c r="X81" s="49"/>
      <c r="Y81" s="49"/>
      <c r="Z81" s="49"/>
      <c r="AA81" s="24">
        <v>23917.031999999999</v>
      </c>
      <c r="AB81" s="24">
        <v>23917.031999999999</v>
      </c>
      <c r="AC81" s="24">
        <v>23917.031999999999</v>
      </c>
      <c r="AD81" s="24"/>
      <c r="AE81" s="21"/>
    </row>
    <row r="82" spans="1:31" ht="12" customHeight="1" x14ac:dyDescent="0.2">
      <c r="A82" s="62" t="s">
        <v>63</v>
      </c>
      <c r="B82" s="62"/>
      <c r="C82" s="62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>
        <v>159278</v>
      </c>
      <c r="Q82" s="24"/>
      <c r="R82" s="49"/>
      <c r="S82" s="49"/>
      <c r="T82" s="49"/>
      <c r="U82" s="49"/>
      <c r="V82" s="24"/>
      <c r="W82" s="49"/>
      <c r="X82" s="49"/>
      <c r="Y82" s="49"/>
      <c r="Z82" s="49"/>
      <c r="AA82" s="24"/>
      <c r="AB82" s="24"/>
      <c r="AC82" s="24"/>
      <c r="AD82" s="24"/>
      <c r="AE82" s="21"/>
    </row>
    <row r="83" spans="1:31" ht="12" customHeight="1" x14ac:dyDescent="0.2">
      <c r="A83" s="151" t="s">
        <v>64</v>
      </c>
      <c r="B83" s="151"/>
      <c r="C83" s="151"/>
      <c r="D83" s="24"/>
      <c r="E83" s="24"/>
      <c r="F83" s="24"/>
      <c r="G83" s="24"/>
      <c r="H83" s="24"/>
      <c r="I83" s="24"/>
      <c r="J83" s="24"/>
      <c r="K83" s="24"/>
      <c r="L83" s="24">
        <v>15016</v>
      </c>
      <c r="M83" s="24">
        <v>27324</v>
      </c>
      <c r="N83" s="24">
        <v>32151</v>
      </c>
      <c r="O83" s="24">
        <v>26535</v>
      </c>
      <c r="P83" s="24">
        <v>14427</v>
      </c>
      <c r="Q83" s="24">
        <v>11023</v>
      </c>
      <c r="R83" s="49">
        <f>Q83*0.95</f>
        <v>10471.85</v>
      </c>
      <c r="S83" s="49">
        <f t="shared" ref="S83:V83" si="41">R83*0.95</f>
        <v>9948.2574999999997</v>
      </c>
      <c r="T83" s="49">
        <f t="shared" si="41"/>
        <v>9450.8446249999997</v>
      </c>
      <c r="U83" s="49">
        <f t="shared" si="41"/>
        <v>8978.3023937500002</v>
      </c>
      <c r="V83" s="49">
        <f t="shared" si="41"/>
        <v>8529.3872740624993</v>
      </c>
      <c r="W83" s="49"/>
      <c r="X83" s="49"/>
      <c r="Y83" s="49"/>
      <c r="Z83" s="49"/>
      <c r="AA83" s="24">
        <v>9450.8446249999997</v>
      </c>
      <c r="AB83" s="24">
        <v>9450.8446249999997</v>
      </c>
      <c r="AC83" s="24">
        <v>9450.8446249999997</v>
      </c>
      <c r="AD83" s="24"/>
      <c r="AE83" s="21"/>
    </row>
    <row r="84" spans="1:31" ht="12" customHeight="1" x14ac:dyDescent="0.2">
      <c r="A84" s="153" t="s">
        <v>65</v>
      </c>
      <c r="B84" s="153"/>
      <c r="C84" s="153"/>
      <c r="D84" s="24"/>
      <c r="E84" s="24"/>
      <c r="F84" s="24"/>
      <c r="G84" s="24"/>
      <c r="H84" s="24"/>
      <c r="I84" s="24"/>
      <c r="J84" s="24"/>
      <c r="K84" s="24"/>
      <c r="L84" s="18">
        <v>38305</v>
      </c>
      <c r="M84" s="18">
        <v>51810</v>
      </c>
      <c r="N84" s="24">
        <v>70685</v>
      </c>
      <c r="O84" s="24">
        <v>46703</v>
      </c>
      <c r="P84" s="24">
        <v>78993</v>
      </c>
      <c r="Q84" s="24">
        <v>74557</v>
      </c>
      <c r="R84" s="49">
        <f>Q84*0.975</f>
        <v>72693.074999999997</v>
      </c>
      <c r="S84" s="49">
        <f t="shared" ref="S84:V84" si="42">R84*0.975</f>
        <v>70875.748124999998</v>
      </c>
      <c r="T84" s="49">
        <f t="shared" si="42"/>
        <v>69103.854421875003</v>
      </c>
      <c r="U84" s="49">
        <f t="shared" si="42"/>
        <v>67376.258061328132</v>
      </c>
      <c r="V84" s="49">
        <f t="shared" si="42"/>
        <v>65691.851609794932</v>
      </c>
      <c r="W84" s="49"/>
      <c r="X84" s="49"/>
      <c r="Y84" s="49"/>
      <c r="Z84" s="49"/>
      <c r="AA84" s="24">
        <v>69103.854421875003</v>
      </c>
      <c r="AB84" s="24">
        <v>69103.854421875003</v>
      </c>
      <c r="AC84" s="24">
        <v>69103.854421875003</v>
      </c>
      <c r="AD84" s="24"/>
      <c r="AE84" s="21"/>
    </row>
    <row r="85" spans="1:31" ht="12" customHeight="1" x14ac:dyDescent="0.2">
      <c r="A85" s="27" t="s">
        <v>66</v>
      </c>
      <c r="B85" s="28"/>
      <c r="C85" s="29"/>
      <c r="D85" s="29"/>
      <c r="E85" s="29"/>
      <c r="F85" s="29"/>
      <c r="G85" s="29"/>
      <c r="H85" s="29"/>
      <c r="I85" s="29"/>
      <c r="J85" s="29"/>
      <c r="K85" s="29"/>
      <c r="L85" s="18">
        <v>1690502</v>
      </c>
      <c r="M85" s="18">
        <v>2483804</v>
      </c>
      <c r="N85" s="30">
        <v>2449865</v>
      </c>
      <c r="O85" s="30">
        <v>2029794</v>
      </c>
      <c r="P85" s="30">
        <f>SUM(P77:P84)</f>
        <v>2446034</v>
      </c>
      <c r="Q85" s="30">
        <f t="shared" ref="Q85" si="43">SUM(Q77:Q84)</f>
        <v>2167275</v>
      </c>
      <c r="R85" s="50">
        <f>SUM(R78:R84)</f>
        <v>2179459.915</v>
      </c>
      <c r="S85" s="50">
        <f t="shared" ref="S85:V85" si="44">SUM(S78:S84)</f>
        <v>2192558.3071249998</v>
      </c>
      <c r="T85" s="50">
        <f t="shared" si="44"/>
        <v>2206542.740681875</v>
      </c>
      <c r="U85" s="50">
        <f t="shared" si="44"/>
        <v>2221389.3324603476</v>
      </c>
      <c r="V85" s="50">
        <f t="shared" si="44"/>
        <v>2237077.4227225436</v>
      </c>
      <c r="W85" s="50"/>
      <c r="X85" s="50"/>
      <c r="Y85" s="50"/>
      <c r="Z85" s="50"/>
      <c r="AA85" s="29">
        <v>2206542.740681875</v>
      </c>
      <c r="AB85" s="29">
        <f>SUM(AB77:AB84)</f>
        <v>2307442.48416718</v>
      </c>
      <c r="AC85" s="29">
        <f>SUM(AC77:AC84)</f>
        <v>2175169.2135863658</v>
      </c>
      <c r="AD85" s="29"/>
      <c r="AE85" s="21"/>
    </row>
    <row r="86" spans="1:31" ht="12" customHeight="1" x14ac:dyDescent="0.2">
      <c r="A86" s="17"/>
      <c r="B86" s="17"/>
      <c r="C86" s="18"/>
      <c r="D86" s="18"/>
      <c r="E86" s="18"/>
      <c r="F86" s="18"/>
      <c r="G86" s="18"/>
      <c r="H86" s="18"/>
      <c r="I86" s="18"/>
      <c r="J86" s="18"/>
      <c r="K86" s="18"/>
      <c r="N86" s="18"/>
      <c r="O86" s="18"/>
      <c r="P86" s="18"/>
      <c r="Q86" s="18"/>
      <c r="R86" s="51"/>
      <c r="S86" s="51"/>
      <c r="T86" s="51"/>
      <c r="U86" s="51"/>
      <c r="V86" s="18"/>
      <c r="W86" s="51"/>
      <c r="X86" s="51"/>
      <c r="Y86" s="51"/>
      <c r="Z86" s="51"/>
      <c r="AA86" s="18"/>
      <c r="AB86" s="18"/>
      <c r="AC86" s="18"/>
      <c r="AD86" s="18"/>
      <c r="AE86" s="21"/>
    </row>
    <row r="87" spans="1:31" ht="12" customHeight="1" x14ac:dyDescent="0.2">
      <c r="A87" s="52" t="s">
        <v>67</v>
      </c>
      <c r="B87" s="17"/>
      <c r="C87" s="18"/>
      <c r="D87" s="18"/>
      <c r="E87" s="18"/>
      <c r="F87" s="18"/>
      <c r="G87" s="18"/>
      <c r="H87" s="18"/>
      <c r="I87" s="18"/>
      <c r="J87" s="18"/>
      <c r="K87" s="18"/>
      <c r="N87" s="18"/>
      <c r="O87" s="18"/>
      <c r="P87" s="18"/>
      <c r="Q87" s="18"/>
      <c r="R87" s="51"/>
      <c r="S87" s="51"/>
      <c r="T87" s="51"/>
      <c r="U87" s="51"/>
      <c r="V87" s="18"/>
      <c r="W87" s="51"/>
      <c r="X87" s="51"/>
      <c r="Y87" s="51"/>
      <c r="Z87" s="51"/>
      <c r="AA87" s="18"/>
      <c r="AB87" s="18"/>
      <c r="AC87" s="18"/>
      <c r="AD87" s="18"/>
      <c r="AE87" s="21"/>
    </row>
    <row r="88" spans="1:31" ht="12" customHeight="1" x14ac:dyDescent="0.2">
      <c r="A88" s="151" t="s">
        <v>68</v>
      </c>
      <c r="B88" s="151"/>
      <c r="C88" s="151"/>
      <c r="D88" s="24"/>
      <c r="E88" s="24"/>
      <c r="F88" s="24"/>
      <c r="G88" s="24"/>
      <c r="H88" s="24"/>
      <c r="I88" s="24"/>
      <c r="J88" s="24"/>
      <c r="K88" s="24"/>
      <c r="L88" s="25">
        <v>1259203</v>
      </c>
      <c r="M88" s="25">
        <v>1266031</v>
      </c>
      <c r="N88" s="25">
        <v>1253591</v>
      </c>
      <c r="O88" s="25">
        <v>1149806</v>
      </c>
      <c r="P88" s="25">
        <v>870982</v>
      </c>
      <c r="Q88" s="25">
        <v>801895</v>
      </c>
      <c r="R88" s="49">
        <f>Q88*0.9</f>
        <v>721705.5</v>
      </c>
      <c r="S88" s="49">
        <f t="shared" ref="S88:V88" si="45">R88*0.9</f>
        <v>649534.95000000007</v>
      </c>
      <c r="T88" s="49">
        <f t="shared" si="45"/>
        <v>584581.45500000007</v>
      </c>
      <c r="U88" s="49">
        <f t="shared" si="45"/>
        <v>526123.30950000009</v>
      </c>
      <c r="V88" s="49">
        <f t="shared" si="45"/>
        <v>473510.97855000012</v>
      </c>
      <c r="W88" s="49"/>
      <c r="X88" s="49"/>
      <c r="Y88" s="49"/>
      <c r="Z88" s="49"/>
      <c r="AA88" s="24">
        <v>584581.45500000007</v>
      </c>
      <c r="AB88" s="24">
        <v>584581.45500000007</v>
      </c>
      <c r="AC88" s="24">
        <v>584581.45500000007</v>
      </c>
      <c r="AD88" s="24"/>
      <c r="AE88" s="21"/>
    </row>
    <row r="89" spans="1:31" ht="12" customHeight="1" x14ac:dyDescent="0.2">
      <c r="A89" s="151" t="s">
        <v>69</v>
      </c>
      <c r="B89" s="151"/>
      <c r="C89" s="151"/>
      <c r="D89" s="24"/>
      <c r="E89" s="24"/>
      <c r="F89" s="24"/>
      <c r="G89" s="24"/>
      <c r="H89" s="24"/>
      <c r="I89" s="24"/>
      <c r="J89" s="24"/>
      <c r="K89" s="24"/>
      <c r="L89" s="25">
        <v>2614274</v>
      </c>
      <c r="M89" s="25">
        <v>2642708</v>
      </c>
      <c r="N89" s="25">
        <v>2775634</v>
      </c>
      <c r="O89" s="25">
        <v>2760813</v>
      </c>
      <c r="P89" s="25">
        <v>2534601</v>
      </c>
      <c r="Q89" s="25">
        <v>2389741</v>
      </c>
      <c r="R89" s="49">
        <f>Q89*0.97</f>
        <v>2318048.77</v>
      </c>
      <c r="S89" s="49">
        <f t="shared" ref="S89:V89" si="46">R89*0.97</f>
        <v>2248507.3068999997</v>
      </c>
      <c r="T89" s="49">
        <f t="shared" si="46"/>
        <v>2181052.0876929997</v>
      </c>
      <c r="U89" s="49">
        <f t="shared" si="46"/>
        <v>2115620.5250622099</v>
      </c>
      <c r="V89" s="49">
        <f t="shared" si="46"/>
        <v>2052151.9093103437</v>
      </c>
      <c r="W89" s="49"/>
      <c r="X89" s="49"/>
      <c r="Y89" s="49"/>
      <c r="Z89" s="49"/>
      <c r="AA89" s="24">
        <v>2181052.0876929997</v>
      </c>
      <c r="AB89" s="24">
        <v>2181052.0876929997</v>
      </c>
      <c r="AC89" s="24">
        <v>2181052.0876929997</v>
      </c>
      <c r="AD89" s="24"/>
      <c r="AE89" s="21"/>
    </row>
    <row r="90" spans="1:31" ht="12" customHeight="1" x14ac:dyDescent="0.2">
      <c r="A90" s="151" t="s">
        <v>70</v>
      </c>
      <c r="B90" s="151"/>
      <c r="C90" s="151"/>
      <c r="D90" s="24"/>
      <c r="E90" s="24"/>
      <c r="F90" s="24"/>
      <c r="G90" s="24"/>
      <c r="H90" s="24"/>
      <c r="I90" s="24"/>
      <c r="J90" s="24"/>
      <c r="K90" s="24"/>
      <c r="L90" s="25">
        <v>808892</v>
      </c>
      <c r="M90" s="25">
        <v>611155</v>
      </c>
      <c r="N90" s="25">
        <v>674786</v>
      </c>
      <c r="O90" s="25">
        <v>537703</v>
      </c>
      <c r="P90" s="25">
        <v>509383</v>
      </c>
      <c r="Q90" s="25">
        <v>273478</v>
      </c>
      <c r="R90" s="49">
        <f>Q90*0.95</f>
        <v>259804.09999999998</v>
      </c>
      <c r="S90" s="49">
        <f t="shared" ref="S90:V90" si="47">R90*0.95</f>
        <v>246813.89499999996</v>
      </c>
      <c r="T90" s="49">
        <f t="shared" si="47"/>
        <v>234473.20024999997</v>
      </c>
      <c r="U90" s="49">
        <f t="shared" si="47"/>
        <v>222749.54023749995</v>
      </c>
      <c r="V90" s="49">
        <f t="shared" si="47"/>
        <v>211612.06322562494</v>
      </c>
      <c r="W90" s="49"/>
      <c r="X90" s="49"/>
      <c r="Y90" s="49"/>
      <c r="Z90" s="49"/>
      <c r="AA90" s="24">
        <v>234473.20024999997</v>
      </c>
      <c r="AB90" s="24">
        <v>234473.20024999997</v>
      </c>
      <c r="AC90" s="24">
        <v>234473.20024999997</v>
      </c>
      <c r="AD90" s="24"/>
      <c r="AE90" s="21"/>
    </row>
    <row r="91" spans="1:31" ht="12" customHeight="1" x14ac:dyDescent="0.2">
      <c r="A91" s="151" t="s">
        <v>71</v>
      </c>
      <c r="B91" s="151"/>
      <c r="C91" s="151"/>
      <c r="D91" s="24"/>
      <c r="E91" s="24"/>
      <c r="F91" s="24"/>
      <c r="G91" s="24"/>
      <c r="H91" s="24"/>
      <c r="I91" s="24"/>
      <c r="J91" s="24"/>
      <c r="K91" s="24"/>
      <c r="L91" s="25">
        <v>22515</v>
      </c>
      <c r="M91" s="25">
        <v>35370</v>
      </c>
      <c r="N91" s="25">
        <v>31086</v>
      </c>
      <c r="O91" s="25">
        <v>20406</v>
      </c>
      <c r="P91" s="25">
        <v>23252</v>
      </c>
      <c r="Q91" s="25">
        <v>23433</v>
      </c>
      <c r="R91" s="49">
        <f>Q91*1.01</f>
        <v>23667.33</v>
      </c>
      <c r="S91" s="49">
        <f t="shared" ref="S91:V91" si="48">R91*1.01</f>
        <v>23904.0033</v>
      </c>
      <c r="T91" s="49">
        <f t="shared" si="48"/>
        <v>24143.043333000001</v>
      </c>
      <c r="U91" s="49">
        <f t="shared" si="48"/>
        <v>24384.47376633</v>
      </c>
      <c r="V91" s="49">
        <f t="shared" si="48"/>
        <v>24628.318503993301</v>
      </c>
      <c r="W91" s="49"/>
      <c r="X91" s="49"/>
      <c r="Y91" s="49"/>
      <c r="Z91" s="49"/>
      <c r="AA91" s="24">
        <v>24143.043333000001</v>
      </c>
      <c r="AB91" s="24">
        <v>24143.043333000001</v>
      </c>
      <c r="AC91" s="24">
        <v>24143.043333000001</v>
      </c>
      <c r="AD91" s="24"/>
      <c r="AE91" s="21"/>
    </row>
    <row r="92" spans="1:31" ht="12" customHeight="1" x14ac:dyDescent="0.2">
      <c r="A92" s="153" t="s">
        <v>72</v>
      </c>
      <c r="B92" s="153"/>
      <c r="C92" s="153"/>
      <c r="D92" s="24"/>
      <c r="E92" s="24"/>
      <c r="F92" s="24"/>
      <c r="G92" s="24"/>
      <c r="H92" s="24"/>
      <c r="I92" s="24"/>
      <c r="J92" s="24"/>
      <c r="K92" s="24"/>
      <c r="L92" s="25">
        <v>165296</v>
      </c>
      <c r="M92" s="25">
        <v>182402</v>
      </c>
      <c r="N92" s="25">
        <v>324110</v>
      </c>
      <c r="O92" s="25">
        <v>193381</v>
      </c>
      <c r="P92" s="25">
        <v>170383</v>
      </c>
      <c r="Q92" s="25">
        <v>277309</v>
      </c>
      <c r="R92" s="49">
        <f>Q92*1.04</f>
        <v>288401.36</v>
      </c>
      <c r="S92" s="49">
        <f t="shared" ref="S92:V92" si="49">R92*1.04</f>
        <v>299937.41440000001</v>
      </c>
      <c r="T92" s="49">
        <f t="shared" si="49"/>
        <v>311934.91097600001</v>
      </c>
      <c r="U92" s="49">
        <f t="shared" si="49"/>
        <v>324412.30741504004</v>
      </c>
      <c r="V92" s="49">
        <f t="shared" si="49"/>
        <v>337388.79971164162</v>
      </c>
      <c r="W92" s="49"/>
      <c r="X92" s="49"/>
      <c r="Y92" s="49"/>
      <c r="Z92" s="49"/>
      <c r="AA92" s="24">
        <v>311934.91097600001</v>
      </c>
      <c r="AB92" s="24">
        <v>311934.91097600001</v>
      </c>
      <c r="AC92" s="24">
        <v>311934.91097600001</v>
      </c>
      <c r="AD92" s="24"/>
      <c r="AE92" s="21"/>
    </row>
    <row r="93" spans="1:31" ht="12" customHeight="1" x14ac:dyDescent="0.2">
      <c r="A93" s="27" t="s">
        <v>73</v>
      </c>
      <c r="B93" s="28"/>
      <c r="C93" s="29"/>
      <c r="D93" s="29"/>
      <c r="E93" s="29"/>
      <c r="F93" s="29"/>
      <c r="G93" s="29"/>
      <c r="H93" s="29"/>
      <c r="I93" s="29"/>
      <c r="J93" s="29"/>
      <c r="K93" s="29"/>
      <c r="L93" s="30">
        <f>SUM(L88:L92)</f>
        <v>4870180</v>
      </c>
      <c r="M93" s="30">
        <f t="shared" ref="M93:N93" si="50">SUM(M88:M92)</f>
        <v>4737666</v>
      </c>
      <c r="N93" s="30">
        <f t="shared" si="50"/>
        <v>5059207</v>
      </c>
      <c r="O93" s="30">
        <f t="shared" ref="O93" si="51">SUM(O88:O92)</f>
        <v>4662109</v>
      </c>
      <c r="P93" s="30">
        <f>SUM(P88:P92)</f>
        <v>4108601</v>
      </c>
      <c r="Q93" s="30">
        <f>SUM(Q88:Q92)</f>
        <v>3765856</v>
      </c>
      <c r="R93" s="50">
        <f>SUM(R88:R92)</f>
        <v>3611627.06</v>
      </c>
      <c r="S93" s="50">
        <f t="shared" ref="S93:V93" si="52">SUM(S88:S92)</f>
        <v>3468697.5696</v>
      </c>
      <c r="T93" s="50">
        <f t="shared" si="52"/>
        <v>3336184.6972519998</v>
      </c>
      <c r="U93" s="50">
        <f t="shared" si="52"/>
        <v>3213290.1559810801</v>
      </c>
      <c r="V93" s="50">
        <f t="shared" si="52"/>
        <v>3099292.0693016034</v>
      </c>
      <c r="W93" s="50"/>
      <c r="X93" s="50"/>
      <c r="Y93" s="50"/>
      <c r="Z93" s="50"/>
      <c r="AA93" s="29">
        <v>3336184.6972519998</v>
      </c>
      <c r="AB93" s="29">
        <v>3336184.6972519998</v>
      </c>
      <c r="AC93" s="29">
        <v>3336184.6972519998</v>
      </c>
      <c r="AD93" s="29"/>
      <c r="AE93" s="21"/>
    </row>
    <row r="94" spans="1:31" ht="12" customHeight="1" x14ac:dyDescent="0.2">
      <c r="A94" s="16" t="s">
        <v>74</v>
      </c>
      <c r="B94" s="17"/>
      <c r="C94" s="18"/>
      <c r="D94" s="18"/>
      <c r="E94" s="18"/>
      <c r="F94" s="18"/>
      <c r="G94" s="18"/>
      <c r="H94" s="18"/>
      <c r="I94" s="18"/>
      <c r="J94" s="18"/>
      <c r="K94" s="18"/>
      <c r="L94" s="30">
        <v>6560682</v>
      </c>
      <c r="M94" s="30">
        <v>7221470</v>
      </c>
      <c r="N94" s="20">
        <f>N85+N93</f>
        <v>7509072</v>
      </c>
      <c r="O94" s="20">
        <f t="shared" ref="O94:Q94" si="53">+O93+O85</f>
        <v>6691903</v>
      </c>
      <c r="P94" s="20">
        <f t="shared" si="53"/>
        <v>6554635</v>
      </c>
      <c r="Q94" s="20">
        <f t="shared" si="53"/>
        <v>5933131</v>
      </c>
      <c r="R94" s="51">
        <f>R93+R85</f>
        <v>5791086.9749999996</v>
      </c>
      <c r="S94" s="51">
        <f t="shared" ref="S94:V94" si="54">S93+S85</f>
        <v>5661255.8767249994</v>
      </c>
      <c r="T94" s="51">
        <f t="shared" si="54"/>
        <v>5542727.4379338752</v>
      </c>
      <c r="U94" s="51">
        <f t="shared" si="54"/>
        <v>5434679.4884414282</v>
      </c>
      <c r="V94" s="51">
        <f t="shared" si="54"/>
        <v>5336369.492024147</v>
      </c>
      <c r="W94" s="51"/>
      <c r="X94" s="51"/>
      <c r="Y94" s="51"/>
      <c r="Z94" s="51"/>
      <c r="AA94" s="18">
        <v>5542727.4379338752</v>
      </c>
      <c r="AB94" s="18">
        <v>5542727.4379338752</v>
      </c>
      <c r="AC94" s="18">
        <v>5542727.4379338752</v>
      </c>
      <c r="AD94" s="18"/>
      <c r="AE94" s="21"/>
    </row>
    <row r="95" spans="1:31" ht="12" customHeight="1" x14ac:dyDescent="0.2">
      <c r="A95" s="17"/>
      <c r="B95" s="17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51"/>
      <c r="S95" s="51"/>
      <c r="T95" s="51"/>
      <c r="U95" s="51"/>
      <c r="V95" s="18"/>
      <c r="W95" s="51"/>
      <c r="X95" s="51"/>
      <c r="Y95" s="51"/>
      <c r="Z95" s="51"/>
      <c r="AA95" s="18"/>
      <c r="AB95" s="18"/>
      <c r="AC95" s="18"/>
      <c r="AD95" s="18"/>
      <c r="AE95" s="21"/>
    </row>
    <row r="96" spans="1:31" ht="12" customHeight="1" x14ac:dyDescent="0.2">
      <c r="A96" s="16" t="s">
        <v>75</v>
      </c>
      <c r="B96" s="23"/>
      <c r="C96" s="24"/>
      <c r="D96" s="24"/>
      <c r="E96" s="24"/>
      <c r="F96" s="24"/>
      <c r="G96" s="24"/>
      <c r="H96" s="24"/>
      <c r="I96" s="24"/>
      <c r="J96" s="24"/>
      <c r="K96" s="24"/>
      <c r="M96" s="24"/>
      <c r="N96" s="24"/>
      <c r="O96" s="24"/>
      <c r="P96" s="24"/>
      <c r="Q96" s="24"/>
      <c r="R96" s="49"/>
      <c r="S96" s="49"/>
      <c r="T96" s="49"/>
      <c r="U96" s="49"/>
      <c r="V96" s="24"/>
      <c r="W96" s="49"/>
      <c r="X96" s="49"/>
      <c r="Y96" s="49"/>
      <c r="Z96" s="49"/>
      <c r="AA96" s="24"/>
      <c r="AB96" s="24"/>
      <c r="AC96" s="24"/>
      <c r="AD96" s="24"/>
      <c r="AE96" s="21"/>
    </row>
    <row r="97" spans="1:31" ht="12" customHeight="1" x14ac:dyDescent="0.2">
      <c r="A97" s="151" t="s">
        <v>76</v>
      </c>
      <c r="B97" s="151"/>
      <c r="C97" s="151"/>
      <c r="D97" s="24"/>
      <c r="E97" s="24"/>
      <c r="F97" s="24"/>
      <c r="G97" s="24"/>
      <c r="H97" s="24"/>
      <c r="I97" s="24"/>
      <c r="J97" s="24"/>
      <c r="K97" s="24"/>
      <c r="M97" s="25"/>
      <c r="N97" s="25"/>
      <c r="O97" s="25"/>
      <c r="P97" s="25"/>
      <c r="Q97" s="25"/>
      <c r="R97" s="49"/>
      <c r="S97" s="49"/>
      <c r="T97" s="49"/>
      <c r="U97" s="49"/>
      <c r="V97" s="24"/>
      <c r="W97" s="49"/>
      <c r="X97" s="49"/>
      <c r="Y97" s="49"/>
      <c r="Z97" s="49"/>
      <c r="AA97" s="24"/>
      <c r="AB97" s="24"/>
      <c r="AC97" s="24"/>
      <c r="AD97" s="24"/>
      <c r="AE97" s="21"/>
    </row>
    <row r="98" spans="1:31" ht="12" customHeight="1" x14ac:dyDescent="0.2">
      <c r="A98" s="151" t="s">
        <v>77</v>
      </c>
      <c r="B98" s="151"/>
      <c r="C98" s="151"/>
      <c r="D98" s="24"/>
      <c r="E98" s="24"/>
      <c r="F98" s="24"/>
      <c r="G98" s="24"/>
      <c r="H98" s="24"/>
      <c r="I98" s="24"/>
      <c r="J98" s="24"/>
      <c r="K98" s="24"/>
      <c r="L98" s="24">
        <v>246954</v>
      </c>
      <c r="M98" s="25">
        <v>313868</v>
      </c>
      <c r="N98" s="25">
        <v>327915</v>
      </c>
      <c r="O98" s="25">
        <v>210701</v>
      </c>
      <c r="P98" s="25">
        <v>252993</v>
      </c>
      <c r="Q98" s="25">
        <v>260663</v>
      </c>
      <c r="R98" s="49">
        <f>Q98*0.98</f>
        <v>255449.74</v>
      </c>
      <c r="S98" s="49">
        <f t="shared" ref="S98:V98" si="55">R98*0.98</f>
        <v>250340.74519999998</v>
      </c>
      <c r="T98" s="49">
        <f t="shared" si="55"/>
        <v>245333.93029599998</v>
      </c>
      <c r="U98" s="49">
        <f t="shared" si="55"/>
        <v>240427.25169007998</v>
      </c>
      <c r="V98" s="49">
        <f t="shared" si="55"/>
        <v>235618.70665627837</v>
      </c>
      <c r="W98" s="49"/>
      <c r="X98" s="49"/>
      <c r="Y98" s="49"/>
      <c r="Z98" s="49"/>
      <c r="AA98" s="24">
        <v>245333.93029599998</v>
      </c>
      <c r="AB98" s="24">
        <f>AB$4*AB129</f>
        <v>280771.38035547012</v>
      </c>
      <c r="AC98" s="24">
        <f>AC$4*AC129</f>
        <v>259379.27518552952</v>
      </c>
      <c r="AD98" s="24"/>
      <c r="AE98" s="21"/>
    </row>
    <row r="99" spans="1:31" ht="12" customHeight="1" x14ac:dyDescent="0.2">
      <c r="A99" s="151" t="s">
        <v>78</v>
      </c>
      <c r="B99" s="151"/>
      <c r="C99" s="151"/>
      <c r="D99" s="15"/>
      <c r="E99" s="15"/>
      <c r="F99" s="15"/>
      <c r="G99" s="15"/>
      <c r="H99" s="15"/>
      <c r="I99" s="15"/>
      <c r="J99" s="15"/>
      <c r="K99" s="15"/>
      <c r="L99" s="25">
        <v>217801</v>
      </c>
      <c r="M99" s="15">
        <v>255060</v>
      </c>
      <c r="N99" s="15">
        <v>240186</v>
      </c>
      <c r="O99" s="15">
        <v>222463</v>
      </c>
      <c r="P99" s="15">
        <v>336767</v>
      </c>
      <c r="Q99" s="15">
        <v>287981</v>
      </c>
      <c r="R99" s="14">
        <f>Q99*0.99</f>
        <v>285101.19</v>
      </c>
      <c r="S99" s="14">
        <f t="shared" ref="S99:V99" si="56">R99*0.99</f>
        <v>282250.17810000002</v>
      </c>
      <c r="T99" s="14">
        <f t="shared" si="56"/>
        <v>279427.67631900002</v>
      </c>
      <c r="U99" s="14">
        <f t="shared" si="56"/>
        <v>276633.39955581003</v>
      </c>
      <c r="V99" s="14">
        <f t="shared" si="56"/>
        <v>273867.06556025194</v>
      </c>
      <c r="W99" s="14"/>
      <c r="X99" s="14"/>
      <c r="Y99" s="14"/>
      <c r="Z99" s="14"/>
      <c r="AA99" s="15">
        <v>279427.67631900002</v>
      </c>
      <c r="AB99" s="15">
        <v>279427.67631900002</v>
      </c>
      <c r="AC99" s="15">
        <v>279427.67631900002</v>
      </c>
      <c r="AD99" s="15"/>
      <c r="AE99" s="21"/>
    </row>
    <row r="100" spans="1:31" ht="12" customHeight="1" x14ac:dyDescent="0.2">
      <c r="A100" s="151" t="s">
        <v>79</v>
      </c>
      <c r="B100" s="151"/>
      <c r="C100" s="151"/>
      <c r="D100" s="24"/>
      <c r="E100" s="24"/>
      <c r="F100" s="24"/>
      <c r="G100" s="24"/>
      <c r="H100" s="24"/>
      <c r="I100" s="24"/>
      <c r="J100" s="24"/>
      <c r="K100" s="24"/>
      <c r="L100" s="25">
        <v>6893</v>
      </c>
      <c r="M100" s="25">
        <v>5092</v>
      </c>
      <c r="N100" s="25" t="s">
        <v>80</v>
      </c>
      <c r="O100" s="25" t="s">
        <v>80</v>
      </c>
      <c r="P100" s="25">
        <v>438740</v>
      </c>
      <c r="Q100" s="25" t="s">
        <v>81</v>
      </c>
      <c r="R100" s="49"/>
      <c r="S100" s="49"/>
      <c r="T100" s="49"/>
      <c r="U100" s="49"/>
      <c r="V100" s="24"/>
      <c r="W100" s="49"/>
      <c r="X100" s="49"/>
      <c r="Y100" s="49"/>
      <c r="Z100" s="49"/>
      <c r="AA100" s="24"/>
      <c r="AB100" s="24"/>
      <c r="AC100" s="24"/>
      <c r="AD100" s="24"/>
      <c r="AE100" s="21"/>
    </row>
    <row r="101" spans="1:31" ht="12" customHeight="1" x14ac:dyDescent="0.2">
      <c r="A101" s="151" t="s">
        <v>82</v>
      </c>
      <c r="B101" s="151"/>
      <c r="C101" s="151"/>
      <c r="D101" s="24"/>
      <c r="E101" s="24"/>
      <c r="F101" s="24"/>
      <c r="G101" s="24"/>
      <c r="H101" s="24"/>
      <c r="I101" s="24"/>
      <c r="J101" s="24"/>
      <c r="K101" s="24"/>
      <c r="L101" s="15">
        <v>67355</v>
      </c>
      <c r="M101" s="25">
        <v>107561</v>
      </c>
      <c r="N101">
        <v>107026</v>
      </c>
      <c r="O101" s="25">
        <v>122599</v>
      </c>
      <c r="P101" s="25">
        <v>113215</v>
      </c>
      <c r="Q101" s="25">
        <v>234538</v>
      </c>
      <c r="R101" s="49">
        <f>Q101*0.98</f>
        <v>229847.24</v>
      </c>
      <c r="S101" s="49">
        <f t="shared" ref="S101:V101" si="57">R101*0.98</f>
        <v>225250.29519999999</v>
      </c>
      <c r="T101" s="49">
        <f t="shared" si="57"/>
        <v>220745.289296</v>
      </c>
      <c r="U101" s="49">
        <f t="shared" si="57"/>
        <v>216330.38351007999</v>
      </c>
      <c r="V101" s="49">
        <f t="shared" si="57"/>
        <v>212003.77583987839</v>
      </c>
      <c r="W101" s="49"/>
      <c r="X101" s="49"/>
      <c r="Y101" s="49"/>
      <c r="Z101" s="49"/>
      <c r="AA101" s="24">
        <v>220745.289296</v>
      </c>
      <c r="AB101" s="24">
        <v>220745.289296</v>
      </c>
      <c r="AC101" s="24">
        <v>220745.289296</v>
      </c>
      <c r="AD101" s="24"/>
      <c r="AE101" s="21"/>
    </row>
    <row r="102" spans="1:31" ht="12" customHeight="1" x14ac:dyDescent="0.2">
      <c r="A102" s="22"/>
      <c r="B102" s="23"/>
      <c r="C102" s="24"/>
      <c r="D102" s="24"/>
      <c r="E102" s="24"/>
      <c r="F102" s="24"/>
      <c r="G102" s="24"/>
      <c r="H102" s="24"/>
      <c r="I102" s="24"/>
      <c r="J102" s="24"/>
      <c r="K102" s="24"/>
      <c r="M102" s="24"/>
      <c r="N102" s="25"/>
      <c r="O102" s="24"/>
      <c r="P102" s="24">
        <v>88372</v>
      </c>
      <c r="Q102" s="24" t="s">
        <v>81</v>
      </c>
      <c r="R102" s="49"/>
      <c r="S102" s="49"/>
      <c r="T102" s="49"/>
      <c r="U102" s="49"/>
      <c r="V102" s="24"/>
      <c r="X102" s="49"/>
      <c r="Y102" s="49"/>
      <c r="Z102" s="49"/>
      <c r="AA102" s="24"/>
      <c r="AB102" s="24"/>
      <c r="AC102" s="24"/>
      <c r="AD102" s="24"/>
      <c r="AE102" s="21"/>
    </row>
    <row r="103" spans="1:31" ht="12" customHeight="1" x14ac:dyDescent="0.2">
      <c r="A103" s="27" t="s">
        <v>83</v>
      </c>
      <c r="B103" s="28"/>
      <c r="C103" s="29"/>
      <c r="D103" s="29"/>
      <c r="E103" s="29"/>
      <c r="F103" s="29"/>
      <c r="G103" s="29"/>
      <c r="H103" s="29"/>
      <c r="I103" s="29"/>
      <c r="J103" s="29"/>
      <c r="K103" s="29"/>
      <c r="L103" s="25">
        <v>539003</v>
      </c>
      <c r="M103" s="30">
        <v>681581</v>
      </c>
      <c r="N103" s="30">
        <v>675127</v>
      </c>
      <c r="O103" s="30">
        <v>555763</v>
      </c>
      <c r="P103" s="30">
        <f>SUM(P98:P102)</f>
        <v>1230087</v>
      </c>
      <c r="Q103" s="30">
        <f t="shared" ref="Q103" si="58">SUM(Q97:Q102)</f>
        <v>783182</v>
      </c>
      <c r="R103" s="50">
        <f>SUM(R98:R101)</f>
        <v>770398.16999999993</v>
      </c>
      <c r="S103" s="50">
        <f t="shared" ref="S103:V103" si="59">SUM(S98:S101)</f>
        <v>757841.21849999996</v>
      </c>
      <c r="T103" s="50">
        <f t="shared" si="59"/>
        <v>745506.89591099997</v>
      </c>
      <c r="U103" s="50">
        <f t="shared" si="59"/>
        <v>733391.03475597</v>
      </c>
      <c r="V103" s="50">
        <f t="shared" si="59"/>
        <v>721489.54805640865</v>
      </c>
      <c r="W103" s="50"/>
      <c r="X103" s="50"/>
      <c r="Y103" s="50"/>
      <c r="Z103" s="50"/>
      <c r="AA103" s="29">
        <v>745506.89591099997</v>
      </c>
      <c r="AB103" s="29">
        <f>SUM(AB98:AB102)</f>
        <v>780944.34597047023</v>
      </c>
      <c r="AC103" s="29">
        <f>SUM(AC98:AC102)</f>
        <v>759552.2408005296</v>
      </c>
      <c r="AD103" s="29"/>
      <c r="AE103" s="21"/>
    </row>
    <row r="104" spans="1:31" ht="12" customHeight="1" x14ac:dyDescent="0.2">
      <c r="A104" s="17" t="s">
        <v>84</v>
      </c>
      <c r="B104" s="17"/>
      <c r="C104" s="18"/>
      <c r="D104" s="18"/>
      <c r="E104" s="18"/>
      <c r="F104" s="18"/>
      <c r="G104" s="18"/>
      <c r="H104" s="18"/>
      <c r="I104" s="18"/>
      <c r="J104" s="18"/>
      <c r="K104" s="18"/>
      <c r="L104" s="25">
        <v>1567231</v>
      </c>
      <c r="M104" s="18">
        <v>1742550</v>
      </c>
      <c r="N104" s="18">
        <v>2047098</v>
      </c>
      <c r="O104" s="18">
        <v>2048073</v>
      </c>
      <c r="P104" s="18">
        <v>1549272</v>
      </c>
      <c r="Q104" s="18">
        <v>1549215</v>
      </c>
      <c r="R104" s="18">
        <v>1549215</v>
      </c>
      <c r="S104" s="18">
        <v>1549215</v>
      </c>
      <c r="T104" s="18">
        <v>1549215</v>
      </c>
      <c r="U104" s="18">
        <v>1549215</v>
      </c>
      <c r="V104" s="18">
        <v>1549215</v>
      </c>
      <c r="W104" s="18">
        <v>1549215</v>
      </c>
      <c r="X104" s="18"/>
      <c r="Y104" s="18"/>
      <c r="Z104" s="18"/>
      <c r="AA104" s="18">
        <v>1549215</v>
      </c>
      <c r="AB104" s="18">
        <v>1549215</v>
      </c>
      <c r="AC104" s="18">
        <v>1549215</v>
      </c>
      <c r="AD104" s="18"/>
      <c r="AE104" s="21"/>
    </row>
    <row r="105" spans="1:31" ht="12" customHeight="1" x14ac:dyDescent="0.2">
      <c r="A105" s="52"/>
      <c r="B105" s="17"/>
      <c r="C105" s="18"/>
      <c r="D105" s="18"/>
      <c r="E105" s="18"/>
      <c r="F105" s="18"/>
      <c r="G105" s="18"/>
      <c r="H105" s="18"/>
      <c r="I105" s="18"/>
      <c r="J105" s="18"/>
      <c r="K105" s="18"/>
      <c r="M105" s="18"/>
      <c r="N105" s="18"/>
      <c r="O105" s="18"/>
      <c r="P105" s="18"/>
      <c r="Q105" s="18"/>
      <c r="R105" s="51"/>
      <c r="S105" s="51"/>
      <c r="T105" s="51"/>
      <c r="U105" s="51"/>
      <c r="V105" s="18"/>
      <c r="W105" s="51"/>
      <c r="X105" s="51"/>
      <c r="Y105" s="51"/>
      <c r="Z105" s="51"/>
      <c r="AA105" s="18"/>
      <c r="AB105" s="18"/>
      <c r="AC105" s="18"/>
      <c r="AD105" s="18"/>
      <c r="AE105" s="21"/>
    </row>
    <row r="106" spans="1:31" ht="12" customHeight="1" x14ac:dyDescent="0.2">
      <c r="A106" s="22" t="s">
        <v>85</v>
      </c>
      <c r="B106" s="23"/>
      <c r="C106" s="24"/>
      <c r="D106" s="24"/>
      <c r="E106" s="24"/>
      <c r="F106" s="24"/>
      <c r="G106" s="24"/>
      <c r="H106" s="24"/>
      <c r="I106" s="24"/>
      <c r="J106" s="24"/>
      <c r="K106" s="24"/>
      <c r="L106" s="30">
        <v>161783</v>
      </c>
      <c r="M106" s="25">
        <v>167914</v>
      </c>
      <c r="N106" s="25">
        <v>233629</v>
      </c>
      <c r="O106" s="63">
        <v>185273</v>
      </c>
      <c r="P106" s="63">
        <v>218904</v>
      </c>
      <c r="Q106" s="25">
        <v>208422</v>
      </c>
      <c r="R106" s="49">
        <f>Q106*1.01</f>
        <v>210506.22</v>
      </c>
      <c r="S106" s="49">
        <f t="shared" ref="S106:V106" si="60">R106*1.01</f>
        <v>212611.28220000002</v>
      </c>
      <c r="T106" s="49">
        <f t="shared" si="60"/>
        <v>214737.39502200001</v>
      </c>
      <c r="U106" s="49">
        <f t="shared" si="60"/>
        <v>216884.76897222002</v>
      </c>
      <c r="V106" s="49">
        <f t="shared" si="60"/>
        <v>219053.61666194221</v>
      </c>
      <c r="W106" s="49"/>
      <c r="X106" s="49"/>
      <c r="Y106" s="49"/>
      <c r="Z106" s="49"/>
      <c r="AA106" s="24">
        <v>214737.39502200001</v>
      </c>
      <c r="AB106" s="24">
        <v>214737.39502200001</v>
      </c>
      <c r="AC106" s="24">
        <v>214737.39502200001</v>
      </c>
      <c r="AD106" s="24"/>
      <c r="AE106" s="21"/>
    </row>
    <row r="107" spans="1:31" ht="12" customHeight="1" x14ac:dyDescent="0.2">
      <c r="A107" s="23"/>
      <c r="B107" s="23"/>
      <c r="C107" s="24"/>
      <c r="D107" s="24"/>
      <c r="E107" s="24"/>
      <c r="F107" s="24"/>
      <c r="G107" s="24"/>
      <c r="H107" s="24"/>
      <c r="I107" s="24"/>
      <c r="J107" s="24"/>
      <c r="K107" s="24"/>
      <c r="L107" s="25"/>
      <c r="M107" s="25"/>
      <c r="N107" s="25"/>
      <c r="O107" s="25"/>
      <c r="P107" s="25"/>
      <c r="Q107" s="25"/>
      <c r="R107" s="49"/>
      <c r="S107" s="49"/>
      <c r="T107" s="49"/>
      <c r="U107" s="49"/>
      <c r="V107" s="24"/>
      <c r="W107" s="49"/>
      <c r="X107" s="49"/>
      <c r="Y107" s="49"/>
      <c r="Z107" s="49"/>
      <c r="AA107" s="24"/>
      <c r="AB107" s="24"/>
      <c r="AC107" s="24"/>
      <c r="AD107" s="24"/>
      <c r="AE107" s="21"/>
    </row>
    <row r="108" spans="1:31" ht="12" customHeight="1" x14ac:dyDescent="0.2">
      <c r="A108" s="36"/>
      <c r="B108" s="36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4"/>
      <c r="S108" s="14"/>
      <c r="T108" s="14"/>
      <c r="U108" s="14"/>
      <c r="V108" s="15"/>
      <c r="W108" s="14"/>
      <c r="X108" s="14"/>
      <c r="Y108" s="14"/>
      <c r="Z108" s="14"/>
      <c r="AA108" s="15"/>
      <c r="AB108" s="15"/>
      <c r="AC108" s="15"/>
      <c r="AD108" s="15"/>
      <c r="AE108" s="21"/>
    </row>
    <row r="109" spans="1:31" ht="12" customHeight="1" x14ac:dyDescent="0.2">
      <c r="A109" s="22"/>
      <c r="B109" s="23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5"/>
      <c r="P109" s="25"/>
      <c r="Q109" s="25"/>
      <c r="R109" s="49"/>
      <c r="S109" s="49"/>
      <c r="T109" s="49"/>
      <c r="U109" s="49"/>
      <c r="V109" s="24"/>
      <c r="W109" s="49"/>
      <c r="X109" s="49"/>
      <c r="Y109" s="49"/>
      <c r="Z109" s="49"/>
      <c r="AA109" s="24"/>
      <c r="AB109" s="24"/>
      <c r="AC109" s="24"/>
      <c r="AD109" s="24"/>
      <c r="AE109" s="21"/>
    </row>
    <row r="110" spans="1:31" ht="12" customHeight="1" x14ac:dyDescent="0.2">
      <c r="A110" s="22"/>
      <c r="B110" s="23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5"/>
      <c r="P110" s="25"/>
      <c r="Q110" s="25"/>
      <c r="R110" s="49"/>
      <c r="S110" s="49"/>
      <c r="T110" s="49"/>
      <c r="U110" s="49"/>
      <c r="V110" s="24"/>
      <c r="W110" s="49"/>
      <c r="X110" s="49"/>
      <c r="Y110" s="49"/>
      <c r="Z110" s="49"/>
      <c r="AA110" s="24"/>
      <c r="AB110" s="24"/>
      <c r="AC110" s="24"/>
      <c r="AD110" s="24"/>
      <c r="AE110" s="21"/>
    </row>
    <row r="111" spans="1:31" ht="12" customHeight="1" x14ac:dyDescent="0.2">
      <c r="A111" s="22"/>
      <c r="B111" s="23"/>
      <c r="C111" s="24"/>
      <c r="D111" s="24"/>
      <c r="E111" s="24"/>
      <c r="F111" s="24"/>
      <c r="G111" s="24"/>
      <c r="H111" s="24"/>
      <c r="I111" s="24"/>
      <c r="J111" s="24"/>
      <c r="K111" s="24"/>
      <c r="L111" s="25"/>
      <c r="M111" s="25"/>
      <c r="N111" s="25"/>
      <c r="O111" s="25"/>
      <c r="P111" s="25"/>
      <c r="Q111" s="25"/>
      <c r="R111" s="49"/>
      <c r="S111" s="49"/>
      <c r="T111" s="49"/>
      <c r="U111" s="49"/>
      <c r="V111" s="24"/>
      <c r="W111" s="49"/>
      <c r="X111" s="49"/>
      <c r="Y111" s="49"/>
      <c r="Z111" s="49"/>
      <c r="AA111" s="24"/>
      <c r="AB111" s="24"/>
      <c r="AC111" s="24"/>
      <c r="AD111" s="24"/>
      <c r="AE111" s="21"/>
    </row>
    <row r="112" spans="1:31" ht="12" customHeight="1" x14ac:dyDescent="0.2">
      <c r="A112" s="22"/>
      <c r="B112" s="23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49"/>
      <c r="S112" s="49"/>
      <c r="T112" s="49"/>
      <c r="U112" s="49"/>
      <c r="V112" s="24"/>
      <c r="W112" s="49"/>
      <c r="X112" s="49"/>
      <c r="Y112" s="49"/>
      <c r="Z112" s="49"/>
      <c r="AA112" s="24"/>
      <c r="AB112" s="24"/>
      <c r="AC112" s="24"/>
      <c r="AD112" s="24"/>
      <c r="AE112" s="21"/>
    </row>
    <row r="113" spans="1:31" ht="12" customHeight="1" x14ac:dyDescent="0.2">
      <c r="A113" s="27" t="s">
        <v>86</v>
      </c>
      <c r="B113" s="28"/>
      <c r="C113" s="29"/>
      <c r="D113" s="29"/>
      <c r="E113" s="29"/>
      <c r="F113" s="29"/>
      <c r="G113" s="29"/>
      <c r="H113" s="29"/>
      <c r="I113" s="29"/>
      <c r="J113" s="29"/>
      <c r="K113" s="29"/>
      <c r="L113" s="30">
        <f t="shared" ref="L113:Q113" si="61">SUM(L104:L112)</f>
        <v>1729014</v>
      </c>
      <c r="M113" s="30">
        <f t="shared" si="61"/>
        <v>1910464</v>
      </c>
      <c r="N113" s="30">
        <f t="shared" si="61"/>
        <v>2280727</v>
      </c>
      <c r="O113" s="30">
        <f t="shared" si="61"/>
        <v>2233346</v>
      </c>
      <c r="P113" s="30">
        <f t="shared" si="61"/>
        <v>1768176</v>
      </c>
      <c r="Q113" s="30">
        <f t="shared" si="61"/>
        <v>1757637</v>
      </c>
      <c r="R113" s="50">
        <f>SUM(R104:R106)</f>
        <v>1759721.22</v>
      </c>
      <c r="S113" s="50">
        <f t="shared" ref="S113:V113" si="62">SUM(S104:S106)</f>
        <v>1761826.2822</v>
      </c>
      <c r="T113" s="50">
        <f t="shared" si="62"/>
        <v>1763952.395022</v>
      </c>
      <c r="U113" s="50">
        <f t="shared" si="62"/>
        <v>1766099.7689722199</v>
      </c>
      <c r="V113" s="50">
        <f t="shared" si="62"/>
        <v>1768268.6166619421</v>
      </c>
      <c r="W113" s="50"/>
      <c r="X113" s="50"/>
      <c r="Y113" s="50"/>
      <c r="Z113" s="50"/>
      <c r="AA113" s="29">
        <v>1957393.5767820003</v>
      </c>
      <c r="AB113" s="29"/>
      <c r="AC113" s="29"/>
      <c r="AD113" s="29"/>
      <c r="AE113" s="21"/>
    </row>
    <row r="114" spans="1:31" ht="12" customHeight="1" x14ac:dyDescent="0.2">
      <c r="A114" s="16" t="s">
        <v>87</v>
      </c>
      <c r="B114" s="17"/>
      <c r="C114" s="18"/>
      <c r="D114" s="18"/>
      <c r="E114" s="18"/>
      <c r="F114" s="18"/>
      <c r="G114" s="18"/>
      <c r="H114" s="18"/>
      <c r="I114" s="18"/>
      <c r="J114" s="18"/>
      <c r="K114" s="18"/>
      <c r="L114" s="20">
        <f>+L113+L103</f>
        <v>2268017</v>
      </c>
      <c r="M114" s="20">
        <f t="shared" ref="M114:Q114" si="63">+M113+M103</f>
        <v>2592045</v>
      </c>
      <c r="N114" s="20">
        <f t="shared" si="63"/>
        <v>2955854</v>
      </c>
      <c r="O114" s="20">
        <f t="shared" si="63"/>
        <v>2789109</v>
      </c>
      <c r="P114" s="20">
        <f t="shared" si="63"/>
        <v>2998263</v>
      </c>
      <c r="Q114" s="20">
        <f t="shared" si="63"/>
        <v>2540819</v>
      </c>
      <c r="R114" s="51">
        <f>R103+R113</f>
        <v>2530119.3899999997</v>
      </c>
      <c r="S114" s="51">
        <f t="shared" ref="S114:U114" si="64">S103+S113</f>
        <v>2519667.5006999997</v>
      </c>
      <c r="T114" s="51">
        <f t="shared" si="64"/>
        <v>2509459.2909329999</v>
      </c>
      <c r="U114" s="51">
        <f t="shared" si="64"/>
        <v>2499490.8037281898</v>
      </c>
      <c r="V114" s="51">
        <f>V103+V113</f>
        <v>2489758.1647183509</v>
      </c>
      <c r="W114" s="51"/>
      <c r="X114" s="51"/>
      <c r="Y114" s="51"/>
      <c r="Z114" s="51"/>
      <c r="AA114" s="18">
        <v>2702900.472693</v>
      </c>
      <c r="AB114" s="18"/>
      <c r="AC114" s="18"/>
      <c r="AD114" s="18"/>
      <c r="AE114" s="21"/>
    </row>
    <row r="115" spans="1:31" ht="12" customHeight="1" x14ac:dyDescent="0.2">
      <c r="A115" s="17"/>
      <c r="B115" s="23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49"/>
      <c r="S115" s="49"/>
      <c r="T115" s="49"/>
      <c r="U115" s="49"/>
      <c r="V115" s="24"/>
      <c r="W115" s="49"/>
      <c r="X115" s="49"/>
      <c r="Y115" s="49"/>
      <c r="Z115" s="49"/>
      <c r="AA115" s="24"/>
      <c r="AB115" s="24"/>
      <c r="AC115" s="24"/>
      <c r="AD115" s="24"/>
      <c r="AE115" s="21"/>
    </row>
    <row r="116" spans="1:31" ht="12" customHeight="1" x14ac:dyDescent="0.2">
      <c r="A116" s="52" t="s">
        <v>88</v>
      </c>
      <c r="B116" s="23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49"/>
      <c r="S116" s="49"/>
      <c r="T116" s="49"/>
      <c r="U116" s="49"/>
      <c r="V116" s="24"/>
      <c r="W116" s="49"/>
      <c r="X116" s="49"/>
      <c r="Y116" s="49"/>
      <c r="Z116" s="49"/>
      <c r="AA116" s="24"/>
      <c r="AB116" s="24"/>
      <c r="AC116" s="24"/>
      <c r="AD116" s="24"/>
      <c r="AE116" s="21"/>
    </row>
    <row r="117" spans="1:31" ht="12" customHeight="1" x14ac:dyDescent="0.2">
      <c r="A117" s="151" t="s">
        <v>89</v>
      </c>
      <c r="B117" s="151"/>
      <c r="C117" s="151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49"/>
      <c r="S117" s="49"/>
      <c r="T117" s="49"/>
      <c r="U117" s="49"/>
      <c r="V117" s="24"/>
      <c r="W117" s="49"/>
      <c r="X117" s="49"/>
      <c r="Y117" s="49"/>
      <c r="Z117" s="49"/>
      <c r="AA117" s="24"/>
      <c r="AB117" s="24"/>
      <c r="AC117" s="24"/>
      <c r="AD117" s="24"/>
      <c r="AE117" s="21"/>
    </row>
    <row r="118" spans="1:31" ht="12" customHeight="1" x14ac:dyDescent="0.2">
      <c r="A118" s="151" t="s">
        <v>90</v>
      </c>
      <c r="B118" s="151"/>
      <c r="C118" s="151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5"/>
      <c r="Q118" s="25"/>
      <c r="R118" s="49"/>
      <c r="S118" s="49"/>
      <c r="T118" s="49"/>
      <c r="U118" s="49"/>
      <c r="V118" s="24"/>
      <c r="W118" s="49"/>
      <c r="X118" s="49"/>
      <c r="Y118" s="49"/>
      <c r="Z118" s="49"/>
      <c r="AA118" s="24"/>
      <c r="AB118" s="24"/>
      <c r="AC118" s="24"/>
      <c r="AD118" s="24"/>
      <c r="AE118" s="21"/>
    </row>
    <row r="119" spans="1:31" ht="12" customHeight="1" x14ac:dyDescent="0.2">
      <c r="A119" s="151" t="s">
        <v>91</v>
      </c>
      <c r="B119" s="151"/>
      <c r="C119" s="151"/>
      <c r="D119" s="24"/>
      <c r="E119" s="24"/>
      <c r="F119" s="24"/>
      <c r="G119" s="24"/>
      <c r="H119" s="24"/>
      <c r="I119" s="24"/>
      <c r="J119" s="24"/>
      <c r="K119" s="24"/>
      <c r="L119" s="24" t="s">
        <v>81</v>
      </c>
      <c r="M119" s="25" t="s">
        <v>81</v>
      </c>
      <c r="N119" s="24" t="s">
        <v>81</v>
      </c>
      <c r="O119" s="25" t="s">
        <v>81</v>
      </c>
      <c r="P119" s="25" t="s">
        <v>81</v>
      </c>
      <c r="Q119" s="25" t="s">
        <v>81</v>
      </c>
      <c r="R119" s="49"/>
      <c r="S119" s="49"/>
      <c r="T119" s="49"/>
      <c r="U119" s="49"/>
      <c r="V119" s="24"/>
      <c r="W119" s="49"/>
      <c r="X119" s="49"/>
      <c r="Y119" s="49"/>
      <c r="Z119" s="49"/>
      <c r="AA119" s="24"/>
      <c r="AB119" s="24"/>
      <c r="AC119" s="24"/>
      <c r="AD119" s="24"/>
      <c r="AE119" s="21"/>
    </row>
    <row r="120" spans="1:31" ht="12" customHeight="1" x14ac:dyDescent="0.2">
      <c r="A120" s="151" t="s">
        <v>92</v>
      </c>
      <c r="B120" s="151"/>
      <c r="C120" s="151"/>
      <c r="D120" s="24"/>
      <c r="E120" s="24"/>
      <c r="F120" s="24"/>
      <c r="G120" s="24"/>
      <c r="H120" s="24"/>
      <c r="I120" s="24"/>
      <c r="J120" s="24"/>
      <c r="K120" s="24"/>
      <c r="L120" s="25">
        <v>4290377</v>
      </c>
      <c r="M120" s="25">
        <v>4244740</v>
      </c>
      <c r="N120" s="25">
        <v>4035849</v>
      </c>
      <c r="O120" s="25">
        <v>3821474</v>
      </c>
      <c r="P120" s="25">
        <v>3651067</v>
      </c>
      <c r="Q120" s="25">
        <v>3431308</v>
      </c>
      <c r="R120" s="49">
        <f>Q120*0.94</f>
        <v>3225429.52</v>
      </c>
      <c r="S120" s="49">
        <f t="shared" ref="S120:V120" si="65">R120*0.94</f>
        <v>3031903.7487999997</v>
      </c>
      <c r="T120" s="49">
        <f t="shared" si="65"/>
        <v>2849989.5238719997</v>
      </c>
      <c r="U120" s="49">
        <f t="shared" si="65"/>
        <v>2678990.1524396795</v>
      </c>
      <c r="V120" s="49">
        <f t="shared" si="65"/>
        <v>2518250.7432932984</v>
      </c>
      <c r="W120" s="49"/>
      <c r="X120" s="49"/>
      <c r="Y120" s="49"/>
      <c r="Z120" s="49"/>
      <c r="AA120" s="24">
        <v>2849989.5238719997</v>
      </c>
      <c r="AB120" s="24"/>
      <c r="AC120" s="24"/>
      <c r="AD120" s="24"/>
      <c r="AE120" s="21"/>
    </row>
    <row r="121" spans="1:31" ht="12" customHeight="1" x14ac:dyDescent="0.2">
      <c r="A121" s="151" t="s">
        <v>93</v>
      </c>
      <c r="B121" s="151"/>
      <c r="C121" s="151"/>
      <c r="D121" s="24"/>
      <c r="E121" s="24"/>
      <c r="F121" s="24"/>
      <c r="G121" s="24"/>
      <c r="H121" s="24"/>
      <c r="I121" s="24"/>
      <c r="J121" s="24"/>
      <c r="K121" s="24"/>
      <c r="L121" s="25">
        <v>2288</v>
      </c>
      <c r="M121" s="25">
        <v>29649</v>
      </c>
      <c r="N121" s="25">
        <v>5232</v>
      </c>
      <c r="O121" s="25">
        <v>-3175</v>
      </c>
      <c r="P121" s="24">
        <v>-5097</v>
      </c>
      <c r="Q121" s="24">
        <v>-5013</v>
      </c>
      <c r="R121" s="49">
        <v>5513.5</v>
      </c>
      <c r="S121" s="49">
        <v>13934.9</v>
      </c>
      <c r="T121" s="49">
        <v>19277.099999999999</v>
      </c>
      <c r="U121" s="49">
        <v>21313.1</v>
      </c>
      <c r="V121" s="24">
        <v>19850.2</v>
      </c>
      <c r="W121" s="49"/>
      <c r="X121" s="49"/>
      <c r="Y121" s="49"/>
      <c r="Z121" s="49"/>
      <c r="AA121" s="24">
        <v>19277.099999999999</v>
      </c>
      <c r="AB121" s="24"/>
      <c r="AC121" s="24"/>
      <c r="AD121" s="24"/>
      <c r="AE121" s="21"/>
    </row>
    <row r="122" spans="1:31" ht="12" customHeight="1" x14ac:dyDescent="0.2">
      <c r="A122" s="153" t="s">
        <v>94</v>
      </c>
      <c r="B122" s="153"/>
      <c r="C122" s="153"/>
      <c r="D122" s="24"/>
      <c r="E122" s="24"/>
      <c r="F122" s="24"/>
      <c r="G122" s="24"/>
      <c r="H122" s="24"/>
      <c r="I122" s="24"/>
      <c r="J122" s="24"/>
      <c r="K122" s="24"/>
      <c r="L122" s="25" t="s">
        <v>81</v>
      </c>
      <c r="M122" s="25">
        <v>355036</v>
      </c>
      <c r="N122" s="25">
        <v>512137</v>
      </c>
      <c r="O122" s="25">
        <v>84495</v>
      </c>
      <c r="P122" s="25">
        <v>-89598</v>
      </c>
      <c r="Q122" s="25">
        <v>-33983</v>
      </c>
      <c r="R122" s="49">
        <f>Q122*0.94</f>
        <v>-31944.019999999997</v>
      </c>
      <c r="S122" s="49">
        <f t="shared" ref="S122:V122" si="66">R122*0.96</f>
        <v>-30666.259199999997</v>
      </c>
      <c r="T122" s="49">
        <f t="shared" si="66"/>
        <v>-29439.608831999994</v>
      </c>
      <c r="U122" s="49">
        <f t="shared" si="66"/>
        <v>-28262.024478719995</v>
      </c>
      <c r="V122" s="49">
        <f t="shared" si="66"/>
        <v>-27131.543499571195</v>
      </c>
      <c r="W122" s="49"/>
      <c r="X122" s="49"/>
      <c r="Y122" s="49"/>
      <c r="Z122" s="49"/>
      <c r="AA122" s="24">
        <v>-29439.608831999994</v>
      </c>
      <c r="AB122" s="24"/>
      <c r="AC122" s="24"/>
      <c r="AD122" s="24"/>
      <c r="AE122" s="21"/>
    </row>
    <row r="123" spans="1:31" ht="12" customHeight="1" x14ac:dyDescent="0.2">
      <c r="A123" s="27" t="s">
        <v>95</v>
      </c>
      <c r="B123" s="28"/>
      <c r="C123" s="29"/>
      <c r="D123" s="29"/>
      <c r="E123" s="29"/>
      <c r="F123" s="29"/>
      <c r="G123" s="29"/>
      <c r="H123" s="29"/>
      <c r="I123" s="29"/>
      <c r="J123" s="29"/>
      <c r="K123" s="29"/>
      <c r="L123" s="30">
        <f t="shared" ref="L123:Q123" si="67">SUM(L118:L122)</f>
        <v>4292665</v>
      </c>
      <c r="M123" s="30">
        <f t="shared" si="67"/>
        <v>4629425</v>
      </c>
      <c r="N123" s="30">
        <f t="shared" si="67"/>
        <v>4553218</v>
      </c>
      <c r="O123" s="30">
        <f t="shared" si="67"/>
        <v>3902794</v>
      </c>
      <c r="P123" s="30">
        <f t="shared" si="67"/>
        <v>3556372</v>
      </c>
      <c r="Q123" s="30">
        <f t="shared" si="67"/>
        <v>3392312</v>
      </c>
      <c r="R123" s="50">
        <f>SUM(R120:R122)</f>
        <v>3198999</v>
      </c>
      <c r="S123" s="50">
        <f t="shared" ref="S123:V123" si="68">SUM(S120:S122)</f>
        <v>3015172.3895999994</v>
      </c>
      <c r="T123" s="50">
        <f t="shared" si="68"/>
        <v>2839827.01504</v>
      </c>
      <c r="U123" s="50">
        <f t="shared" si="68"/>
        <v>2672041.2279609595</v>
      </c>
      <c r="V123" s="50">
        <f t="shared" si="68"/>
        <v>2510969.3997937273</v>
      </c>
      <c r="W123" s="50"/>
      <c r="X123" s="50"/>
      <c r="Y123" s="50"/>
      <c r="Z123" s="50"/>
      <c r="AA123" s="29">
        <v>2839827.01504</v>
      </c>
      <c r="AB123" s="29"/>
      <c r="AC123" s="29"/>
      <c r="AD123" s="29"/>
      <c r="AE123" s="21"/>
    </row>
    <row r="124" spans="1:31" ht="12" customHeight="1" x14ac:dyDescent="0.2">
      <c r="A124" s="22"/>
      <c r="B124" s="23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5"/>
      <c r="P124" s="25"/>
      <c r="Q124" s="25"/>
      <c r="R124" s="49"/>
      <c r="S124" s="49"/>
      <c r="T124" s="49"/>
      <c r="U124" s="49"/>
      <c r="V124" s="24"/>
      <c r="W124" s="49"/>
      <c r="X124" s="49"/>
      <c r="Y124" s="49"/>
      <c r="Z124" s="49"/>
      <c r="AA124" s="24"/>
      <c r="AB124" s="24"/>
      <c r="AC124" s="24"/>
      <c r="AD124" s="24"/>
      <c r="AE124" s="21"/>
    </row>
    <row r="125" spans="1:31" ht="12" customHeight="1" x14ac:dyDescent="0.2">
      <c r="A125" s="16" t="s">
        <v>96</v>
      </c>
      <c r="B125" s="17"/>
      <c r="C125" s="18"/>
      <c r="D125" s="18"/>
      <c r="E125" s="18"/>
      <c r="F125" s="18"/>
      <c r="G125" s="18"/>
      <c r="H125" s="18"/>
      <c r="I125" s="18"/>
      <c r="J125" s="18"/>
      <c r="K125" s="18"/>
      <c r="L125" s="20">
        <f t="shared" ref="L125:Q125" si="69">+L124+L123+L114</f>
        <v>6560682</v>
      </c>
      <c r="M125" s="20">
        <f t="shared" si="69"/>
        <v>7221470</v>
      </c>
      <c r="N125" s="20">
        <f t="shared" si="69"/>
        <v>7509072</v>
      </c>
      <c r="O125" s="20">
        <f t="shared" si="69"/>
        <v>6691903</v>
      </c>
      <c r="P125" s="20">
        <f t="shared" si="69"/>
        <v>6554635</v>
      </c>
      <c r="Q125" s="20">
        <f t="shared" si="69"/>
        <v>5933131</v>
      </c>
      <c r="R125" s="51">
        <f>R123+R114</f>
        <v>5729118.3899999997</v>
      </c>
      <c r="S125" s="51">
        <f t="shared" ref="S125:V125" si="70">S123+S114</f>
        <v>5534839.8902999992</v>
      </c>
      <c r="T125" s="51">
        <f t="shared" si="70"/>
        <v>5349286.3059729999</v>
      </c>
      <c r="U125" s="51">
        <f t="shared" si="70"/>
        <v>5171532.0316891493</v>
      </c>
      <c r="V125" s="51">
        <f t="shared" si="70"/>
        <v>5000727.5645120777</v>
      </c>
      <c r="W125" s="51"/>
      <c r="X125" s="51"/>
      <c r="Y125" s="51"/>
      <c r="Z125" s="51"/>
      <c r="AA125" s="18">
        <v>5542727.487733</v>
      </c>
      <c r="AB125" s="18"/>
      <c r="AC125" s="18"/>
      <c r="AD125" s="18"/>
      <c r="AE125" s="21"/>
    </row>
    <row r="126" spans="1:31" ht="12" customHeight="1" x14ac:dyDescent="0.2">
      <c r="A126" s="14"/>
      <c r="B126" s="36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37"/>
      <c r="P126" s="37"/>
      <c r="Q126" s="37"/>
      <c r="R126" s="14"/>
      <c r="S126" s="14"/>
      <c r="T126" s="14"/>
      <c r="U126" s="14"/>
      <c r="V126" s="15"/>
      <c r="W126" s="14"/>
      <c r="X126" s="14"/>
      <c r="Y126" s="14"/>
      <c r="Z126" s="14"/>
      <c r="AA126" s="15"/>
      <c r="AB126" s="15"/>
      <c r="AC126" s="15"/>
      <c r="AD126" s="15"/>
      <c r="AE126" s="21"/>
    </row>
    <row r="127" spans="1:31" ht="12" customHeight="1" x14ac:dyDescent="0.2">
      <c r="A127" s="14"/>
      <c r="B127" s="36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37"/>
      <c r="P127" s="37"/>
      <c r="Q127" s="37"/>
      <c r="R127" s="14"/>
      <c r="S127" s="14"/>
      <c r="T127" s="14"/>
      <c r="U127" s="14"/>
      <c r="V127" s="15"/>
      <c r="W127" s="14"/>
      <c r="X127" s="14"/>
      <c r="Y127" s="14"/>
      <c r="Z127" s="14"/>
      <c r="AA127" s="15"/>
      <c r="AB127" s="15"/>
      <c r="AC127" s="15"/>
      <c r="AD127" s="15"/>
      <c r="AE127" s="21"/>
    </row>
    <row r="128" spans="1:31" ht="12" customHeight="1" x14ac:dyDescent="0.2">
      <c r="A128" s="21" t="s">
        <v>97</v>
      </c>
      <c r="B128" s="36"/>
      <c r="C128" s="15"/>
      <c r="D128" s="15"/>
      <c r="E128" s="15"/>
      <c r="F128" s="15"/>
      <c r="G128" s="15"/>
      <c r="H128" s="15"/>
      <c r="I128" s="15"/>
      <c r="J128" s="15"/>
      <c r="K128" s="15"/>
      <c r="L128" s="67">
        <f>L79/L4</f>
        <v>0.11335474435969289</v>
      </c>
      <c r="M128" s="67">
        <f t="shared" ref="M128:V128" si="71">M79/M4</f>
        <v>0.11392179975279598</v>
      </c>
      <c r="N128" s="67">
        <f t="shared" si="71"/>
        <v>0.12244619449238589</v>
      </c>
      <c r="O128" s="67">
        <f t="shared" si="71"/>
        <v>8.5313802127472999E-2</v>
      </c>
      <c r="P128" s="67">
        <f t="shared" si="71"/>
        <v>0.10955281673513717</v>
      </c>
      <c r="Q128" s="67">
        <f t="shared" si="71"/>
        <v>0.10398548415677347</v>
      </c>
      <c r="R128" s="67">
        <f t="shared" si="71"/>
        <v>9.9080508489001129E-2</v>
      </c>
      <c r="S128" s="67">
        <f t="shared" si="71"/>
        <v>9.4406899598010519E-2</v>
      </c>
      <c r="T128" s="67">
        <f t="shared" si="71"/>
        <v>8.9953743956594903E-2</v>
      </c>
      <c r="U128" s="67">
        <f t="shared" si="71"/>
        <v>8.5710642826566846E-2</v>
      </c>
      <c r="V128" s="67">
        <f t="shared" si="71"/>
        <v>8.1667687976257092E-2</v>
      </c>
      <c r="W128" s="14"/>
      <c r="X128" s="14"/>
      <c r="Y128" s="14"/>
      <c r="Z128" s="14"/>
      <c r="AA128" s="67">
        <v>9.8044935571471981E-2</v>
      </c>
      <c r="AB128" s="67">
        <v>9.8044935571471981E-2</v>
      </c>
      <c r="AC128" s="67">
        <v>9.8044935571471981E-2</v>
      </c>
      <c r="AD128" s="15"/>
      <c r="AE128" s="21"/>
    </row>
    <row r="129" spans="1:31" ht="12" customHeight="1" x14ac:dyDescent="0.2">
      <c r="A129" s="21" t="s">
        <v>98</v>
      </c>
      <c r="B129" s="36"/>
      <c r="C129" s="15"/>
      <c r="D129" s="15"/>
      <c r="E129" s="15"/>
      <c r="F129" s="15"/>
      <c r="G129" s="15"/>
      <c r="H129" s="15"/>
      <c r="I129" s="15"/>
      <c r="J129" s="15"/>
      <c r="K129" s="15"/>
      <c r="L129" s="67">
        <f>L98/L4</f>
        <v>7.6240583537425508E-2</v>
      </c>
      <c r="M129" s="67">
        <f t="shared" ref="M129:V129" si="72">M98/M4</f>
        <v>7.8167871099270869E-2</v>
      </c>
      <c r="N129" s="67">
        <f t="shared" si="72"/>
        <v>7.0584413935080803E-2</v>
      </c>
      <c r="O129" s="67">
        <f t="shared" si="72"/>
        <v>5.9029825469217645E-2</v>
      </c>
      <c r="P129" s="67">
        <f t="shared" si="72"/>
        <v>6.7115691021582144E-2</v>
      </c>
      <c r="Q129" s="67">
        <f t="shared" si="72"/>
        <v>7.0090086747113645E-2</v>
      </c>
      <c r="R129" s="67">
        <f t="shared" si="72"/>
        <v>6.4800268879406958E-2</v>
      </c>
      <c r="S129" s="67">
        <f t="shared" si="72"/>
        <v>5.9909682548885672E-2</v>
      </c>
      <c r="T129" s="67">
        <f t="shared" si="72"/>
        <v>5.5388197073498062E-2</v>
      </c>
      <c r="U129" s="67">
        <f t="shared" si="72"/>
        <v>5.1207955784932174E-2</v>
      </c>
      <c r="V129" s="67">
        <f t="shared" si="72"/>
        <v>4.7343204404937292E-2</v>
      </c>
      <c r="W129" s="14"/>
      <c r="X129" s="14"/>
      <c r="Y129" s="14"/>
      <c r="Z129" s="14"/>
      <c r="AA129" s="67">
        <v>6.037027448364448E-2</v>
      </c>
      <c r="AB129" s="67">
        <v>6.037027448364448E-2</v>
      </c>
      <c r="AC129" s="67">
        <v>6.037027448364448E-2</v>
      </c>
      <c r="AD129" s="15"/>
      <c r="AE129" s="21"/>
    </row>
    <row r="130" spans="1:31" ht="12" customHeight="1" x14ac:dyDescent="0.2">
      <c r="A130" s="21" t="s">
        <v>99</v>
      </c>
      <c r="B130" s="36"/>
      <c r="C130" s="15"/>
      <c r="D130" s="15"/>
      <c r="E130" s="15"/>
      <c r="F130" s="15"/>
      <c r="G130" s="15"/>
      <c r="H130" s="15"/>
      <c r="I130" s="15"/>
      <c r="J130" s="15"/>
      <c r="K130" s="15"/>
      <c r="L130" s="67">
        <f>L158/L4</f>
        <v>6.8423078834789847E-2</v>
      </c>
      <c r="M130" s="67">
        <f t="shared" ref="M130:V130" si="73">M158/M4</f>
        <v>5.0607836461819732E-2</v>
      </c>
      <c r="N130" s="67">
        <f t="shared" si="73"/>
        <v>4.5407229114835738E-2</v>
      </c>
      <c r="O130" s="67">
        <f t="shared" si="73"/>
        <v>5.7831304373649459E-2</v>
      </c>
      <c r="P130" s="67">
        <f t="shared" si="73"/>
        <v>5.1209627999000397E-2</v>
      </c>
      <c r="Q130" s="67">
        <f t="shared" si="73"/>
        <v>4.3889021990222564E-2</v>
      </c>
      <c r="R130" s="67">
        <f t="shared" si="73"/>
        <v>4.0162595594826309E-2</v>
      </c>
      <c r="S130" s="67">
        <f t="shared" si="73"/>
        <v>3.675256389337879E-2</v>
      </c>
      <c r="T130" s="67">
        <f t="shared" si="73"/>
        <v>3.3632063185450402E-2</v>
      </c>
      <c r="U130" s="67">
        <f t="shared" si="73"/>
        <v>3.0776510650836683E-2</v>
      </c>
      <c r="V130" s="67">
        <f t="shared" si="73"/>
        <v>2.8163410689916589E-2</v>
      </c>
      <c r="W130" s="60"/>
      <c r="X130" s="60"/>
      <c r="Y130" s="60"/>
      <c r="Z130" s="60"/>
      <c r="AA130" s="67">
        <v>3.6657212063838818E-2</v>
      </c>
      <c r="AB130" s="67">
        <v>3.6657212063838818E-2</v>
      </c>
      <c r="AC130" s="67">
        <v>3.6657212063838818E-2</v>
      </c>
      <c r="AD130" s="15"/>
      <c r="AE130" s="21"/>
    </row>
    <row r="131" spans="1:31" ht="12" customHeight="1" x14ac:dyDescent="0.2">
      <c r="A131" s="21" t="s">
        <v>100</v>
      </c>
      <c r="B131" s="36"/>
      <c r="C131" s="15"/>
      <c r="D131" s="15"/>
      <c r="E131" s="15"/>
      <c r="F131" s="15"/>
      <c r="G131" s="15"/>
      <c r="H131" s="15"/>
      <c r="I131" s="15"/>
      <c r="J131" s="15"/>
      <c r="K131" s="15"/>
      <c r="L131" s="67">
        <f>L158/L4</f>
        <v>6.8423078834789847E-2</v>
      </c>
      <c r="M131" s="67">
        <f t="shared" ref="M131:V131" si="74">M158/M4</f>
        <v>5.0607836461819732E-2</v>
      </c>
      <c r="N131" s="67">
        <f t="shared" si="74"/>
        <v>4.5407229114835738E-2</v>
      </c>
      <c r="O131" s="67">
        <f t="shared" si="74"/>
        <v>5.7831304373649459E-2</v>
      </c>
      <c r="P131" s="67">
        <f t="shared" si="74"/>
        <v>5.1209627999000397E-2</v>
      </c>
      <c r="Q131" s="67">
        <f t="shared" si="74"/>
        <v>4.3889021990222564E-2</v>
      </c>
      <c r="R131" s="67">
        <f t="shared" si="74"/>
        <v>4.0162595594826309E-2</v>
      </c>
      <c r="S131" s="67">
        <f t="shared" si="74"/>
        <v>3.675256389337879E-2</v>
      </c>
      <c r="T131" s="67">
        <f t="shared" si="74"/>
        <v>3.3632063185450402E-2</v>
      </c>
      <c r="U131" s="67">
        <f t="shared" si="74"/>
        <v>3.0776510650836683E-2</v>
      </c>
      <c r="V131" s="67">
        <f t="shared" si="74"/>
        <v>2.8163410689916589E-2</v>
      </c>
      <c r="W131" s="49"/>
      <c r="X131" s="49"/>
      <c r="Y131" s="49"/>
      <c r="Z131" s="49"/>
      <c r="AA131" s="67">
        <v>3.6657212063838818E-2</v>
      </c>
      <c r="AB131" s="67">
        <v>3.6657212063838818E-2</v>
      </c>
      <c r="AC131" s="67">
        <v>3.6657212063838818E-2</v>
      </c>
      <c r="AD131" s="24"/>
      <c r="AE131" s="21"/>
    </row>
    <row r="132" spans="1:31" ht="12" customHeight="1" x14ac:dyDescent="0.2">
      <c r="A132" s="21" t="s">
        <v>101</v>
      </c>
      <c r="B132" s="36"/>
      <c r="C132" s="15"/>
      <c r="D132" s="15"/>
      <c r="E132" s="15"/>
      <c r="F132" s="15"/>
      <c r="G132" s="15"/>
      <c r="H132" s="15"/>
      <c r="I132" s="15"/>
      <c r="J132" s="15"/>
      <c r="K132" s="15"/>
      <c r="L132" s="67">
        <f>(L179-L181)/L4</f>
        <v>-5.1264826075802197E-2</v>
      </c>
      <c r="M132" s="67">
        <f t="shared" ref="M132:V132" si="75">(M179-M181)/M4</f>
        <v>-4.0869602249591373E-2</v>
      </c>
      <c r="N132" s="67">
        <f t="shared" si="75"/>
        <v>-4.5949018816052817E-2</v>
      </c>
      <c r="O132" s="67">
        <f t="shared" si="75"/>
        <v>-4.4532146728342784E-2</v>
      </c>
      <c r="P132" s="67">
        <f t="shared" si="75"/>
        <v>-1.1740530456776034E-2</v>
      </c>
      <c r="Q132" s="67">
        <f t="shared" si="75"/>
        <v>-3.6786788603621806E-2</v>
      </c>
      <c r="R132" s="67">
        <f t="shared" si="75"/>
        <v>-3.4704517550586608E-2</v>
      </c>
      <c r="S132" s="67">
        <f t="shared" si="75"/>
        <v>-3.274011089677982E-2</v>
      </c>
      <c r="T132" s="67">
        <f t="shared" si="75"/>
        <v>-3.0886897072433788E-2</v>
      </c>
      <c r="U132" s="67">
        <f t="shared" si="75"/>
        <v>-2.913858214380546E-2</v>
      </c>
      <c r="V132" s="67">
        <f t="shared" si="75"/>
        <v>-2.7489228437552322E-2</v>
      </c>
      <c r="W132" s="49"/>
      <c r="X132" s="49"/>
      <c r="Y132" s="49"/>
      <c r="Z132" s="49"/>
      <c r="AA132" s="67">
        <v>-3.366512276499236E-2</v>
      </c>
      <c r="AB132" s="67">
        <v>-3.366512276499236E-2</v>
      </c>
      <c r="AC132" s="67">
        <v>-3.366512276499236E-2</v>
      </c>
      <c r="AD132" s="24"/>
      <c r="AE132" s="21"/>
    </row>
    <row r="133" spans="1:31" ht="12" customHeight="1" x14ac:dyDescent="0.2">
      <c r="A133" s="14"/>
      <c r="B133" s="36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37"/>
      <c r="P133" s="37"/>
      <c r="Q133" s="37"/>
      <c r="R133" s="49"/>
      <c r="S133" s="49"/>
      <c r="T133" s="49"/>
      <c r="U133" s="49"/>
      <c r="V133" s="24"/>
      <c r="W133" s="49"/>
      <c r="X133" s="49"/>
      <c r="Y133" s="49"/>
      <c r="Z133" s="49"/>
      <c r="AA133" s="67"/>
      <c r="AB133" s="24"/>
      <c r="AC133" s="24"/>
      <c r="AD133" s="24"/>
      <c r="AE133" s="21"/>
    </row>
    <row r="134" spans="1:31" ht="12" customHeight="1" x14ac:dyDescent="0.2">
      <c r="A134" s="14"/>
      <c r="B134" s="36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37"/>
      <c r="P134" s="37"/>
      <c r="Q134" s="37"/>
      <c r="R134" s="49"/>
      <c r="S134" s="49"/>
      <c r="T134" s="49"/>
      <c r="U134" s="49"/>
      <c r="V134" s="24"/>
      <c r="W134" s="49"/>
      <c r="X134" s="49"/>
      <c r="Y134" s="49"/>
      <c r="Z134" s="49"/>
      <c r="AA134" s="24"/>
      <c r="AB134" s="24"/>
      <c r="AC134" s="24"/>
      <c r="AD134" s="24"/>
      <c r="AE134" s="21"/>
    </row>
    <row r="135" spans="1:31" ht="12" customHeight="1" x14ac:dyDescent="0.2">
      <c r="A135" s="14"/>
      <c r="B135" s="36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37"/>
      <c r="P135" s="37"/>
      <c r="Q135" s="37"/>
      <c r="R135" s="49"/>
      <c r="S135" s="49"/>
      <c r="T135" s="49"/>
      <c r="U135" s="49"/>
      <c r="V135" s="24"/>
      <c r="W135" s="49"/>
      <c r="X135" s="49"/>
      <c r="Y135" s="49"/>
      <c r="Z135" s="49"/>
      <c r="AA135" s="24"/>
      <c r="AB135" s="24"/>
      <c r="AC135" s="24"/>
      <c r="AD135" s="24"/>
      <c r="AE135" s="21"/>
    </row>
    <row r="136" spans="1:31" ht="12" customHeight="1" x14ac:dyDescent="0.2">
      <c r="A136" s="14"/>
      <c r="B136" s="36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37"/>
      <c r="P136" s="37"/>
      <c r="Q136" s="37"/>
      <c r="R136" s="61"/>
      <c r="S136" s="61"/>
      <c r="T136" s="61"/>
      <c r="U136" s="61"/>
      <c r="V136" s="24"/>
      <c r="W136" s="61"/>
      <c r="X136" s="61"/>
      <c r="Y136" s="61"/>
      <c r="Z136" s="61"/>
      <c r="AA136" s="24"/>
      <c r="AB136" s="25"/>
      <c r="AC136" s="25"/>
      <c r="AD136" s="25"/>
      <c r="AE136" s="21"/>
    </row>
    <row r="137" spans="1:31" ht="12" customHeight="1" x14ac:dyDescent="0.2">
      <c r="A137" s="14"/>
      <c r="B137" s="36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37"/>
      <c r="P137" s="37"/>
      <c r="Q137" s="37"/>
      <c r="R137" s="49"/>
      <c r="S137" s="49"/>
      <c r="T137" s="49"/>
      <c r="U137" s="49"/>
      <c r="V137" s="24"/>
      <c r="W137" s="49"/>
      <c r="X137" s="49"/>
      <c r="Y137" s="49"/>
      <c r="Z137" s="49"/>
      <c r="AA137" s="24"/>
      <c r="AB137" s="24"/>
      <c r="AC137" s="24"/>
      <c r="AD137" s="24"/>
      <c r="AE137" s="21"/>
    </row>
    <row r="138" spans="1:31" ht="12" customHeight="1" x14ac:dyDescent="0.2">
      <c r="A138" s="14"/>
      <c r="B138" s="36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37"/>
      <c r="P138" s="37"/>
      <c r="Q138" s="37"/>
      <c r="R138" s="49"/>
      <c r="S138" s="49"/>
      <c r="T138" s="49"/>
      <c r="U138" s="49"/>
      <c r="V138" s="24"/>
      <c r="W138" s="49"/>
      <c r="X138" s="49"/>
      <c r="Y138" s="49"/>
      <c r="Z138" s="49"/>
      <c r="AA138" s="24"/>
      <c r="AB138" s="24"/>
      <c r="AC138" s="24"/>
      <c r="AD138" s="24"/>
      <c r="AE138" s="21"/>
    </row>
    <row r="139" spans="1:31" ht="12" customHeight="1" x14ac:dyDescent="0.2">
      <c r="A139" s="14"/>
      <c r="B139" s="36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37"/>
      <c r="P139" s="37"/>
      <c r="Q139" s="37"/>
      <c r="R139" s="49"/>
      <c r="S139" s="49"/>
      <c r="T139" s="49"/>
      <c r="U139" s="49"/>
      <c r="V139" s="24"/>
      <c r="W139" s="49"/>
      <c r="X139" s="49"/>
      <c r="Y139" s="49"/>
      <c r="Z139" s="49"/>
      <c r="AA139" s="24"/>
      <c r="AB139" s="24"/>
      <c r="AC139" s="24"/>
      <c r="AD139" s="24"/>
      <c r="AE139" s="21"/>
    </row>
    <row r="140" spans="1:31" ht="12" customHeight="1" x14ac:dyDescent="0.2">
      <c r="A140" s="14"/>
      <c r="B140" s="36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37"/>
      <c r="P140" s="37"/>
      <c r="Q140" s="37"/>
      <c r="R140" s="49"/>
      <c r="S140" s="49"/>
      <c r="T140" s="49"/>
      <c r="U140" s="49"/>
      <c r="V140" s="24"/>
      <c r="W140" s="49"/>
      <c r="X140" s="49"/>
      <c r="Y140" s="49"/>
      <c r="Z140" s="49"/>
      <c r="AA140" s="24"/>
      <c r="AB140" s="24"/>
      <c r="AC140" s="24"/>
      <c r="AD140" s="24"/>
      <c r="AE140" s="21"/>
    </row>
    <row r="141" spans="1:31" ht="12" customHeight="1" x14ac:dyDescent="0.2">
      <c r="A141" s="14"/>
      <c r="B141" s="36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37"/>
      <c r="P141" s="37"/>
      <c r="Q141" s="37"/>
      <c r="R141" s="49"/>
      <c r="S141" s="49"/>
      <c r="T141" s="49"/>
      <c r="U141" s="49"/>
      <c r="V141" s="24"/>
      <c r="W141" s="49"/>
      <c r="X141" s="49"/>
      <c r="Y141" s="49"/>
      <c r="Z141" s="49"/>
      <c r="AA141" s="24"/>
      <c r="AB141" s="24"/>
      <c r="AC141" s="24"/>
      <c r="AD141" s="24"/>
      <c r="AE141" s="21"/>
    </row>
    <row r="142" spans="1:31" ht="12" customHeight="1" x14ac:dyDescent="0.2">
      <c r="A142" s="14"/>
      <c r="B142" s="36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37"/>
      <c r="P142" s="37"/>
      <c r="Q142" s="37"/>
      <c r="R142" s="49"/>
      <c r="S142" s="49"/>
      <c r="T142" s="49"/>
      <c r="U142" s="49"/>
      <c r="V142" s="24"/>
      <c r="W142" s="49"/>
      <c r="X142" s="49"/>
      <c r="Y142" s="49"/>
      <c r="Z142" s="49"/>
      <c r="AA142" s="24"/>
      <c r="AB142" s="24"/>
      <c r="AC142" s="24"/>
      <c r="AD142" s="24"/>
      <c r="AE142" s="21"/>
    </row>
    <row r="143" spans="1:31" ht="12" customHeight="1" x14ac:dyDescent="0.2">
      <c r="A143" s="14"/>
      <c r="B143" s="36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37"/>
      <c r="P143" s="37"/>
      <c r="Q143" s="37"/>
      <c r="R143" s="49"/>
      <c r="S143" s="49"/>
      <c r="T143" s="49"/>
      <c r="U143" s="49"/>
      <c r="V143" s="24"/>
      <c r="W143" s="49"/>
      <c r="X143" s="49"/>
      <c r="Y143" s="49"/>
      <c r="Z143" s="49"/>
      <c r="AA143" s="24"/>
      <c r="AB143" s="24"/>
      <c r="AC143" s="24"/>
      <c r="AD143" s="24"/>
      <c r="AE143" s="21"/>
    </row>
    <row r="144" spans="1:31" ht="12" customHeight="1" x14ac:dyDescent="0.2">
      <c r="A144" s="14"/>
      <c r="B144" s="36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37"/>
      <c r="P144" s="37"/>
      <c r="Q144" s="37"/>
      <c r="R144" s="14"/>
      <c r="S144" s="14"/>
      <c r="T144" s="14"/>
      <c r="U144" s="14"/>
      <c r="V144" s="15"/>
      <c r="W144" s="14"/>
      <c r="X144" s="14"/>
      <c r="Y144" s="14"/>
      <c r="Z144" s="14"/>
      <c r="AA144" s="15"/>
      <c r="AB144" s="15"/>
      <c r="AC144" s="15"/>
      <c r="AD144" s="15"/>
      <c r="AE144" s="21"/>
    </row>
    <row r="145" spans="1:31" ht="12" customHeight="1" x14ac:dyDescent="0.2">
      <c r="A145" s="14"/>
      <c r="B145" s="36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37"/>
      <c r="P145" s="37"/>
      <c r="Q145" s="37"/>
      <c r="R145" s="49"/>
      <c r="S145" s="49"/>
      <c r="T145" s="49"/>
      <c r="U145" s="49"/>
      <c r="V145" s="24"/>
      <c r="W145" s="49"/>
      <c r="X145" s="49"/>
      <c r="Y145" s="49"/>
      <c r="Z145" s="49"/>
      <c r="AA145" s="24"/>
      <c r="AB145" s="24"/>
      <c r="AC145" s="24"/>
      <c r="AD145" s="24"/>
      <c r="AE145" s="21"/>
    </row>
    <row r="146" spans="1:31" ht="12" customHeight="1" x14ac:dyDescent="0.2">
      <c r="A146" s="14"/>
      <c r="B146" s="36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37"/>
      <c r="P146" s="37"/>
      <c r="Q146" s="37"/>
      <c r="R146" s="49"/>
      <c r="S146" s="49"/>
      <c r="T146" s="49"/>
      <c r="U146" s="49"/>
      <c r="V146" s="24"/>
      <c r="W146" s="49"/>
      <c r="X146" s="49"/>
      <c r="Y146" s="49"/>
      <c r="Z146" s="49"/>
      <c r="AA146" s="24"/>
      <c r="AB146" s="24"/>
      <c r="AC146" s="24"/>
      <c r="AD146" s="24"/>
      <c r="AE146" s="21"/>
    </row>
    <row r="147" spans="1:31" ht="12" customHeight="1" x14ac:dyDescent="0.2">
      <c r="A147" s="14"/>
      <c r="B147" s="36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37"/>
      <c r="P147" s="37"/>
      <c r="Q147" s="37"/>
      <c r="R147" s="49"/>
      <c r="S147" s="49"/>
      <c r="T147" s="49"/>
      <c r="U147" s="49"/>
      <c r="V147" s="24"/>
      <c r="W147" s="49"/>
      <c r="X147" s="49"/>
      <c r="Y147" s="49"/>
      <c r="Z147" s="49"/>
      <c r="AA147" s="24"/>
      <c r="AB147" s="24"/>
      <c r="AC147" s="24"/>
      <c r="AD147" s="24"/>
      <c r="AE147" s="21"/>
    </row>
    <row r="148" spans="1:31" ht="12" customHeight="1" x14ac:dyDescent="0.2">
      <c r="A148" s="14"/>
      <c r="B148" s="36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37"/>
      <c r="P148" s="37"/>
      <c r="Q148" s="37"/>
      <c r="R148" s="49"/>
      <c r="S148" s="49"/>
      <c r="T148" s="49"/>
      <c r="U148" s="49"/>
      <c r="V148" s="24"/>
      <c r="W148" s="49"/>
      <c r="X148" s="49"/>
      <c r="Y148" s="49"/>
      <c r="Z148" s="49"/>
      <c r="AA148" s="24"/>
      <c r="AB148" s="24"/>
      <c r="AC148" s="24"/>
      <c r="AD148" s="24"/>
      <c r="AE148" s="21"/>
    </row>
    <row r="149" spans="1:31" ht="12" customHeight="1" x14ac:dyDescent="0.2">
      <c r="A149" s="14"/>
      <c r="B149" s="36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37"/>
      <c r="P149" s="37"/>
      <c r="Q149" s="37"/>
      <c r="R149" s="49"/>
      <c r="S149" s="49"/>
      <c r="T149" s="49"/>
      <c r="U149" s="49"/>
      <c r="V149" s="24"/>
      <c r="W149" s="49"/>
      <c r="X149" s="49"/>
      <c r="Y149" s="49"/>
      <c r="Z149" s="49"/>
      <c r="AA149" s="24"/>
      <c r="AB149" s="24"/>
      <c r="AC149" s="24"/>
      <c r="AD149" s="24"/>
      <c r="AE149" s="21"/>
    </row>
    <row r="150" spans="1:31" ht="12" customHeight="1" x14ac:dyDescent="0.2">
      <c r="A150" s="14"/>
      <c r="B150" s="36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37"/>
      <c r="P150" s="37"/>
      <c r="Q150" s="37"/>
      <c r="R150" s="49"/>
      <c r="S150" s="49"/>
      <c r="T150" s="49"/>
      <c r="U150" s="49"/>
      <c r="V150" s="24"/>
      <c r="W150" s="49"/>
      <c r="X150" s="49"/>
      <c r="Y150" s="49"/>
      <c r="Z150" s="49"/>
      <c r="AA150" s="24"/>
      <c r="AB150" s="24"/>
      <c r="AC150" s="24"/>
      <c r="AD150" s="24"/>
      <c r="AE150" s="21"/>
    </row>
    <row r="151" spans="1:31" ht="12" customHeight="1" x14ac:dyDescent="0.2">
      <c r="A151" s="14"/>
      <c r="B151" s="36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37"/>
      <c r="P151" s="37"/>
      <c r="Q151" s="37"/>
      <c r="R151" s="50"/>
      <c r="S151" s="50"/>
      <c r="T151" s="50"/>
      <c r="U151" s="50"/>
      <c r="V151" s="29"/>
      <c r="W151" s="50"/>
      <c r="X151" s="50"/>
      <c r="Y151" s="50"/>
      <c r="Z151" s="50"/>
      <c r="AA151" s="29"/>
      <c r="AB151" s="29"/>
      <c r="AC151" s="29"/>
      <c r="AD151" s="29"/>
      <c r="AE151" s="21"/>
    </row>
    <row r="152" spans="1:31" ht="12" customHeight="1" x14ac:dyDescent="0.2">
      <c r="A152" s="14"/>
      <c r="B152" s="36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37"/>
      <c r="P152" s="37"/>
      <c r="Q152" s="37"/>
      <c r="R152" s="49"/>
      <c r="S152" s="49"/>
      <c r="T152" s="49"/>
      <c r="U152" s="49"/>
      <c r="V152" s="24"/>
      <c r="W152" s="49"/>
      <c r="X152" s="49"/>
      <c r="Y152" s="49"/>
      <c r="Z152" s="49"/>
      <c r="AA152" s="24"/>
      <c r="AB152" s="24"/>
      <c r="AC152" s="24"/>
      <c r="AD152" s="24"/>
      <c r="AE152" s="21"/>
    </row>
    <row r="153" spans="1:31" x14ac:dyDescent="0.2">
      <c r="A153" s="14"/>
      <c r="B153" s="36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37"/>
      <c r="P153" s="37"/>
      <c r="Q153" s="37"/>
      <c r="R153" s="49"/>
      <c r="S153" s="49"/>
      <c r="T153" s="49"/>
      <c r="U153" s="49"/>
      <c r="V153" s="24"/>
      <c r="W153" s="49"/>
      <c r="X153" s="49"/>
      <c r="Y153" s="49"/>
      <c r="Z153" s="49"/>
      <c r="AA153" s="24"/>
      <c r="AB153" s="24"/>
      <c r="AC153" s="24"/>
      <c r="AD153" s="24"/>
      <c r="AE153" s="21"/>
    </row>
    <row r="154" spans="1:31" ht="17" customHeight="1" x14ac:dyDescent="0.2">
      <c r="A154" s="53" t="s">
        <v>102</v>
      </c>
      <c r="B154" s="54"/>
      <c r="C154" s="55"/>
      <c r="D154" s="55"/>
      <c r="E154" s="55"/>
      <c r="F154" s="55"/>
      <c r="G154" s="55"/>
      <c r="H154" s="55"/>
      <c r="I154" s="55"/>
      <c r="J154" s="55"/>
      <c r="K154" s="56"/>
      <c r="L154" s="56"/>
      <c r="M154" s="56"/>
      <c r="N154" s="56"/>
      <c r="O154" s="57"/>
      <c r="P154" s="57"/>
      <c r="Q154" s="57"/>
      <c r="R154" s="49"/>
      <c r="S154" s="49"/>
      <c r="T154" s="49"/>
      <c r="U154" s="49"/>
      <c r="V154" s="24"/>
      <c r="W154" s="49"/>
      <c r="X154" s="49"/>
      <c r="Y154" s="49"/>
      <c r="Z154" s="49"/>
      <c r="AA154" s="24"/>
      <c r="AB154" s="24"/>
      <c r="AC154" s="24"/>
      <c r="AD154" s="24"/>
      <c r="AE154" s="21"/>
    </row>
    <row r="155" spans="1:31" ht="18" customHeight="1" x14ac:dyDescent="0.2">
      <c r="A155" s="48" t="s">
        <v>103</v>
      </c>
      <c r="B155" s="58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0"/>
      <c r="S155" s="50"/>
      <c r="T155" s="50"/>
      <c r="U155" s="50"/>
      <c r="V155" s="29"/>
      <c r="W155" s="50"/>
      <c r="X155" s="50"/>
      <c r="Y155" s="50"/>
      <c r="Z155" s="50"/>
      <c r="AA155" s="29"/>
      <c r="AB155" s="29"/>
      <c r="AC155" s="29"/>
      <c r="AD155" s="29"/>
      <c r="AE155" s="21"/>
    </row>
    <row r="156" spans="1:31" ht="12" customHeight="1" x14ac:dyDescent="0.2">
      <c r="A156" s="151" t="s">
        <v>28</v>
      </c>
      <c r="B156" s="151"/>
      <c r="C156" s="151"/>
      <c r="D156" s="24"/>
      <c r="E156" s="24"/>
      <c r="F156" s="24"/>
      <c r="G156" s="24"/>
      <c r="H156" s="24"/>
      <c r="I156" s="24"/>
      <c r="J156" s="24"/>
      <c r="K156" s="62"/>
      <c r="L156" s="24">
        <v>334325</v>
      </c>
      <c r="M156" s="26">
        <v>733611</v>
      </c>
      <c r="N156" s="26">
        <v>1033353</v>
      </c>
      <c r="O156" s="26">
        <v>103152</v>
      </c>
      <c r="P156" s="26">
        <v>-70322</v>
      </c>
      <c r="Q156" s="26">
        <v>55615</v>
      </c>
      <c r="R156" s="51">
        <f ca="1">R24</f>
        <v>321267.08066699986</v>
      </c>
      <c r="S156" s="51">
        <f t="shared" ref="S156:V156" si="76">S24</f>
        <v>395059.36050749966</v>
      </c>
      <c r="T156" s="51">
        <f t="shared" si="76"/>
        <v>431380.38719560212</v>
      </c>
      <c r="U156" s="51">
        <f t="shared" si="76"/>
        <v>470196.87557033577</v>
      </c>
      <c r="V156" s="51">
        <f t="shared" si="76"/>
        <v>511667.4160967957</v>
      </c>
      <c r="W156" s="51"/>
      <c r="X156" s="51"/>
      <c r="Y156" s="51"/>
      <c r="Z156" s="51"/>
      <c r="AA156" s="24">
        <v>233652.99700198352</v>
      </c>
      <c r="AB156" s="24">
        <f>AB24</f>
        <v>686952.22495452175</v>
      </c>
      <c r="AC156" s="24">
        <f>AC24</f>
        <v>53997.543422327464</v>
      </c>
      <c r="AD156" s="24"/>
      <c r="AE156" s="21"/>
    </row>
    <row r="157" spans="1:31" ht="12" customHeight="1" x14ac:dyDescent="0.2">
      <c r="A157" s="151" t="s">
        <v>104</v>
      </c>
      <c r="B157" s="151"/>
      <c r="C157" s="151"/>
      <c r="D157" s="24"/>
      <c r="E157" s="24"/>
      <c r="F157" s="24"/>
      <c r="G157" s="24"/>
      <c r="H157" s="24"/>
      <c r="I157" s="24"/>
      <c r="J157" s="24"/>
      <c r="K157" s="62"/>
      <c r="M157" s="26"/>
      <c r="N157" s="26"/>
      <c r="O157" s="26"/>
      <c r="P157" s="26"/>
      <c r="Q157" s="26"/>
      <c r="R157" s="51"/>
      <c r="S157" s="51"/>
      <c r="T157" s="51"/>
      <c r="U157" s="51"/>
      <c r="V157" s="24"/>
      <c r="W157" s="51"/>
      <c r="X157" s="51"/>
      <c r="Y157" s="51"/>
      <c r="Z157" s="51"/>
      <c r="AA157" s="24"/>
      <c r="AB157" s="24"/>
      <c r="AC157" s="24"/>
      <c r="AD157" s="24"/>
      <c r="AE157" s="21"/>
    </row>
    <row r="158" spans="1:31" ht="12" customHeight="1" x14ac:dyDescent="0.2">
      <c r="A158" s="151" t="s">
        <v>105</v>
      </c>
      <c r="B158" s="151"/>
      <c r="C158" s="151"/>
      <c r="D158" s="24"/>
      <c r="E158" s="24"/>
      <c r="F158" s="24"/>
      <c r="G158" s="24"/>
      <c r="H158" s="24"/>
      <c r="I158" s="24"/>
      <c r="J158" s="24"/>
      <c r="K158" s="62"/>
      <c r="L158" s="24">
        <v>221632</v>
      </c>
      <c r="M158" s="26">
        <v>203206</v>
      </c>
      <c r="N158" s="26">
        <v>210949</v>
      </c>
      <c r="O158" s="26">
        <v>206423</v>
      </c>
      <c r="P158" s="26">
        <v>193035</v>
      </c>
      <c r="Q158" s="26">
        <v>163222</v>
      </c>
      <c r="R158" s="49">
        <f>Q158*0.97</f>
        <v>158325.34</v>
      </c>
      <c r="S158" s="49">
        <f t="shared" ref="S158:V158" si="77">R158*0.97</f>
        <v>153575.57980000001</v>
      </c>
      <c r="T158" s="49">
        <f t="shared" si="77"/>
        <v>148968.31240600001</v>
      </c>
      <c r="U158" s="49">
        <f t="shared" si="77"/>
        <v>144499.26303382</v>
      </c>
      <c r="V158" s="49">
        <f t="shared" si="77"/>
        <v>140164.2851428054</v>
      </c>
      <c r="W158" s="49"/>
      <c r="X158" s="49"/>
      <c r="Y158" s="49"/>
      <c r="Z158" s="49"/>
      <c r="AA158" s="24">
        <v>148968.31240600001</v>
      </c>
      <c r="AB158" s="24">
        <f>AB$4*AB130</f>
        <v>170486.15596299147</v>
      </c>
      <c r="AC158" s="24">
        <f>AC$4*AC130</f>
        <v>157496.73455628732</v>
      </c>
      <c r="AD158" s="24"/>
      <c r="AE158" s="21"/>
    </row>
    <row r="159" spans="1:31" ht="12" customHeight="1" x14ac:dyDescent="0.2">
      <c r="A159" s="151" t="s">
        <v>106</v>
      </c>
      <c r="B159" s="151"/>
      <c r="C159" s="151"/>
      <c r="D159" s="24"/>
      <c r="E159" s="24"/>
      <c r="F159" s="24"/>
      <c r="G159" s="24"/>
      <c r="H159" s="24"/>
      <c r="I159" s="24"/>
      <c r="J159" s="24"/>
      <c r="K159" s="62"/>
      <c r="L159" s="24">
        <v>247299</v>
      </c>
      <c r="M159" s="26">
        <v>252898</v>
      </c>
      <c r="N159" s="26">
        <v>150466</v>
      </c>
      <c r="O159" s="26">
        <v>132425</v>
      </c>
      <c r="P159" s="26">
        <v>127898</v>
      </c>
      <c r="Q159" s="26">
        <v>133614</v>
      </c>
      <c r="R159" s="49">
        <f>Q159*0.99</f>
        <v>132277.85999999999</v>
      </c>
      <c r="S159" s="49">
        <f t="shared" ref="S159:V159" si="78">R159*0.99</f>
        <v>130955.08139999998</v>
      </c>
      <c r="T159" s="49">
        <f t="shared" si="78"/>
        <v>129645.53058599998</v>
      </c>
      <c r="U159" s="49">
        <f t="shared" si="78"/>
        <v>128349.07528013998</v>
      </c>
      <c r="V159" s="49">
        <f t="shared" si="78"/>
        <v>127065.58452733858</v>
      </c>
      <c r="W159" s="49"/>
      <c r="X159" s="49"/>
      <c r="Y159" s="49"/>
      <c r="Z159" s="49"/>
      <c r="AA159" s="24">
        <v>129645.53058599998</v>
      </c>
      <c r="AB159" s="24">
        <f>AB$4*AB131</f>
        <v>170486.15596299147</v>
      </c>
      <c r="AC159" s="24">
        <f>AC$4*AC131</f>
        <v>157496.73455628732</v>
      </c>
      <c r="AD159" s="24"/>
      <c r="AE159" s="21"/>
    </row>
    <row r="160" spans="1:31" ht="12" customHeight="1" x14ac:dyDescent="0.2">
      <c r="A160" s="151" t="s">
        <v>107</v>
      </c>
      <c r="B160" s="151"/>
      <c r="C160" s="151"/>
      <c r="D160" s="24"/>
      <c r="E160" s="24"/>
      <c r="F160" s="24"/>
      <c r="G160" s="24"/>
      <c r="H160" s="24"/>
      <c r="I160" s="24"/>
      <c r="J160" s="24"/>
      <c r="K160" s="62"/>
      <c r="L160" s="24" t="s">
        <v>81</v>
      </c>
      <c r="M160" s="26">
        <v>61991</v>
      </c>
      <c r="N160" s="26">
        <v>744</v>
      </c>
      <c r="O160" s="26" t="s">
        <v>81</v>
      </c>
      <c r="Q160" s="26">
        <v>-84737</v>
      </c>
      <c r="R160" s="49"/>
      <c r="S160" s="49"/>
      <c r="T160" s="49"/>
      <c r="U160" s="49"/>
      <c r="V160" s="24"/>
      <c r="W160" s="49"/>
      <c r="X160" s="49"/>
      <c r="Y160" s="49"/>
      <c r="Z160" s="49"/>
      <c r="AA160" s="24"/>
      <c r="AB160" s="24"/>
      <c r="AC160" s="24"/>
      <c r="AD160" s="24"/>
      <c r="AE160" s="21"/>
    </row>
    <row r="161" spans="1:31" ht="12" customHeight="1" x14ac:dyDescent="0.2">
      <c r="A161" s="151" t="s">
        <v>108</v>
      </c>
      <c r="B161" s="151"/>
      <c r="C161" s="151"/>
      <c r="D161" s="24"/>
      <c r="E161" s="24"/>
      <c r="F161" s="24"/>
      <c r="G161" s="24"/>
      <c r="H161" s="24"/>
      <c r="I161" s="24"/>
      <c r="J161" s="24"/>
      <c r="K161" s="62"/>
      <c r="L161" s="24">
        <v>-11099</v>
      </c>
      <c r="M161" s="26">
        <v>-18136</v>
      </c>
      <c r="N161" s="24">
        <v>31875</v>
      </c>
      <c r="O161" s="24">
        <v>-66145</v>
      </c>
      <c r="P161" s="26">
        <v>19405</v>
      </c>
      <c r="R161" s="49"/>
      <c r="S161" s="49"/>
      <c r="T161" s="49"/>
      <c r="U161" s="49"/>
      <c r="V161" s="24"/>
      <c r="W161" s="49"/>
      <c r="X161" s="49"/>
      <c r="Y161" s="49"/>
      <c r="Z161" s="49"/>
      <c r="AA161" s="24"/>
      <c r="AB161" s="24"/>
      <c r="AC161" s="24"/>
      <c r="AD161" s="24"/>
      <c r="AE161" s="21"/>
    </row>
    <row r="162" spans="1:31" ht="12" customHeight="1" x14ac:dyDescent="0.2">
      <c r="A162" s="151" t="s">
        <v>109</v>
      </c>
      <c r="B162" s="151"/>
      <c r="C162" s="151"/>
      <c r="D162" s="24"/>
      <c r="E162" s="24"/>
      <c r="F162" s="24"/>
      <c r="G162" s="24"/>
      <c r="H162" s="24"/>
      <c r="I162" s="24"/>
      <c r="J162" s="24"/>
      <c r="K162" s="62"/>
      <c r="L162" s="24">
        <v>-43008</v>
      </c>
      <c r="M162" s="26" t="s">
        <v>81</v>
      </c>
      <c r="N162" s="24" t="s">
        <v>81</v>
      </c>
      <c r="P162" s="24">
        <v>36715</v>
      </c>
      <c r="R162" s="49"/>
      <c r="S162" s="49"/>
      <c r="T162" s="49"/>
      <c r="U162" s="49"/>
      <c r="V162" s="24"/>
      <c r="W162" s="49"/>
      <c r="X162" s="49"/>
      <c r="Y162" s="49"/>
      <c r="Z162" s="49"/>
      <c r="AA162" s="24"/>
      <c r="AB162" s="24"/>
      <c r="AC162" s="24"/>
      <c r="AD162" s="24"/>
      <c r="AE162" s="21"/>
    </row>
    <row r="163" spans="1:31" ht="12" customHeight="1" x14ac:dyDescent="0.2">
      <c r="A163" s="151" t="s">
        <v>110</v>
      </c>
      <c r="B163" s="151"/>
      <c r="C163" s="151"/>
      <c r="D163" s="24"/>
      <c r="E163" s="24"/>
      <c r="F163" s="24"/>
      <c r="G163" s="24"/>
      <c r="H163" s="24"/>
      <c r="I163" s="24"/>
      <c r="J163" s="24"/>
      <c r="K163" s="62"/>
      <c r="L163" s="24">
        <v>18339</v>
      </c>
      <c r="M163" s="26">
        <v>2775</v>
      </c>
      <c r="O163" s="24">
        <v>227101</v>
      </c>
      <c r="Q163" s="24">
        <v>6485</v>
      </c>
      <c r="R163" s="50"/>
      <c r="S163" s="50"/>
      <c r="T163" s="50"/>
      <c r="U163" s="50"/>
      <c r="V163" s="29"/>
      <c r="W163" s="50"/>
      <c r="X163" s="50"/>
      <c r="Y163" s="50"/>
      <c r="Z163" s="50"/>
      <c r="AA163" s="29"/>
      <c r="AB163" s="29"/>
      <c r="AC163" s="29"/>
      <c r="AD163" s="29"/>
      <c r="AE163" s="21"/>
    </row>
    <row r="164" spans="1:31" ht="12" customHeight="1" x14ac:dyDescent="0.2">
      <c r="A164" s="151" t="s">
        <v>111</v>
      </c>
      <c r="B164" s="151"/>
      <c r="C164" s="151"/>
      <c r="D164" s="24"/>
      <c r="E164" s="24"/>
      <c r="F164" s="24"/>
      <c r="G164" s="24"/>
      <c r="H164" s="24"/>
      <c r="I164" s="24"/>
      <c r="J164" s="24"/>
      <c r="K164" s="62"/>
      <c r="L164" s="24">
        <v>1057</v>
      </c>
      <c r="M164" s="26" t="s">
        <v>81</v>
      </c>
      <c r="N164" s="26">
        <v>48000</v>
      </c>
      <c r="O164" s="26">
        <v>12411</v>
      </c>
      <c r="P164" s="24">
        <v>221414</v>
      </c>
      <c r="Q164" s="24">
        <v>192569</v>
      </c>
      <c r="R164" s="51"/>
      <c r="S164" s="51"/>
      <c r="T164" s="51"/>
      <c r="U164" s="51"/>
      <c r="V164" s="24"/>
      <c r="W164" s="51"/>
      <c r="X164" s="51"/>
      <c r="Y164" s="51"/>
      <c r="Z164" s="51"/>
      <c r="AA164" s="24"/>
      <c r="AB164" s="24"/>
      <c r="AC164" s="24"/>
      <c r="AD164" s="24"/>
      <c r="AE164" s="21"/>
    </row>
    <row r="165" spans="1:31" ht="12" customHeight="1" x14ac:dyDescent="0.2">
      <c r="A165" s="151" t="s">
        <v>112</v>
      </c>
      <c r="B165" s="151"/>
      <c r="C165" s="151"/>
      <c r="D165" s="24"/>
      <c r="E165" s="24"/>
      <c r="F165" s="24"/>
      <c r="G165" s="24"/>
      <c r="H165" s="24"/>
      <c r="I165" s="24"/>
      <c r="J165" s="24"/>
      <c r="K165" s="62"/>
      <c r="L165" s="24">
        <v>75978</v>
      </c>
      <c r="M165" s="26">
        <v>89322</v>
      </c>
      <c r="N165" s="26">
        <v>83507</v>
      </c>
      <c r="O165" s="26">
        <v>105580</v>
      </c>
      <c r="P165" s="26">
        <v>120834</v>
      </c>
      <c r="Q165">
        <v>136346</v>
      </c>
      <c r="R165" s="51">
        <f>0.037*R4</f>
        <v>145858.04261999999</v>
      </c>
      <c r="S165" s="51">
        <f t="shared" ref="S165:V165" si="79">0.037*S4</f>
        <v>154609.5251772</v>
      </c>
      <c r="T165" s="51">
        <f t="shared" si="79"/>
        <v>163886.09668783203</v>
      </c>
      <c r="U165" s="51">
        <f t="shared" si="79"/>
        <v>173719.26248910194</v>
      </c>
      <c r="V165" s="51">
        <f t="shared" si="79"/>
        <v>184142.41823844807</v>
      </c>
      <c r="W165" s="51"/>
      <c r="X165" s="51"/>
      <c r="Y165" s="51"/>
      <c r="Z165" s="51"/>
      <c r="AA165" s="24">
        <v>150361.340884929</v>
      </c>
      <c r="AB165" s="24"/>
      <c r="AC165" s="24"/>
      <c r="AD165" s="24"/>
      <c r="AE165" s="21"/>
    </row>
    <row r="166" spans="1:31" ht="12" customHeight="1" x14ac:dyDescent="0.2">
      <c r="A166" s="151" t="s">
        <v>113</v>
      </c>
      <c r="B166" s="151"/>
      <c r="C166" s="151"/>
      <c r="D166" s="24"/>
      <c r="E166" s="24"/>
      <c r="F166" s="24"/>
      <c r="G166" s="24"/>
      <c r="H166" s="24"/>
      <c r="I166" s="24"/>
      <c r="J166" s="24"/>
      <c r="K166" s="62"/>
      <c r="L166" s="24">
        <v>22474</v>
      </c>
      <c r="M166" s="15">
        <v>-2151</v>
      </c>
      <c r="N166" s="26">
        <v>14150</v>
      </c>
      <c r="O166" s="26">
        <v>25299</v>
      </c>
      <c r="P166" s="26">
        <v>41806</v>
      </c>
      <c r="Q166">
        <v>25481</v>
      </c>
      <c r="R166" s="49"/>
      <c r="S166" s="49"/>
      <c r="T166" s="49"/>
      <c r="U166" s="49"/>
      <c r="V166" s="24"/>
      <c r="W166" s="49"/>
      <c r="X166" s="49"/>
      <c r="Y166" s="49"/>
      <c r="Z166" s="49"/>
      <c r="AA166" s="24"/>
      <c r="AB166" s="24"/>
      <c r="AC166" s="24"/>
      <c r="AD166" s="24"/>
      <c r="AE166" s="21"/>
    </row>
    <row r="167" spans="1:31" ht="12" customHeight="1" x14ac:dyDescent="0.2">
      <c r="A167" s="151" t="s">
        <v>114</v>
      </c>
      <c r="B167" s="151"/>
      <c r="C167" s="151"/>
      <c r="D167" s="24"/>
      <c r="E167" s="24"/>
      <c r="F167" s="24"/>
      <c r="G167" s="24"/>
      <c r="H167" s="24"/>
      <c r="I167" s="24"/>
      <c r="J167" s="24"/>
      <c r="K167" s="62"/>
      <c r="N167" s="26"/>
      <c r="O167" s="26"/>
      <c r="P167" s="26"/>
      <c r="Q167" s="26"/>
      <c r="R167" s="49"/>
      <c r="S167" s="49"/>
      <c r="T167" s="49"/>
      <c r="U167" s="49"/>
      <c r="V167" s="24"/>
      <c r="W167" s="49"/>
      <c r="X167" s="49"/>
      <c r="Y167" s="49"/>
      <c r="Z167" s="49"/>
      <c r="AA167" s="24"/>
      <c r="AB167" s="24"/>
      <c r="AC167" s="24"/>
      <c r="AD167" s="24"/>
      <c r="AE167" s="21"/>
    </row>
    <row r="168" spans="1:31" ht="12" customHeight="1" x14ac:dyDescent="0.2">
      <c r="A168" s="151" t="s">
        <v>115</v>
      </c>
      <c r="B168" s="151"/>
      <c r="C168" s="151"/>
      <c r="D168" s="24"/>
      <c r="E168" s="24"/>
      <c r="F168" s="24"/>
      <c r="G168" s="24"/>
      <c r="H168" s="24"/>
      <c r="I168" s="24"/>
      <c r="J168" s="24"/>
      <c r="K168" s="62"/>
      <c r="L168" s="24">
        <v>21029</v>
      </c>
      <c r="M168" s="26">
        <v>-91275</v>
      </c>
      <c r="N168" s="26">
        <v>-107896</v>
      </c>
      <c r="O168" s="26">
        <v>264781</v>
      </c>
      <c r="P168" s="26">
        <v>-105776</v>
      </c>
      <c r="Q168" s="26">
        <v>26807</v>
      </c>
      <c r="R168" s="49">
        <f>((R4/365)*38)-Q168</f>
        <v>383604.37501369865</v>
      </c>
      <c r="S168" s="49">
        <f t="shared" ref="S168:V168" si="80">((S4/365)*38)-R168</f>
        <v>51431.682500821888</v>
      </c>
      <c r="T168" s="49">
        <f t="shared" si="80"/>
        <v>409706.53846457001</v>
      </c>
      <c r="U168" s="49">
        <f t="shared" si="80"/>
        <v>79099.975758745393</v>
      </c>
      <c r="V168" s="49">
        <f t="shared" si="80"/>
        <v>439034.9293179689</v>
      </c>
      <c r="W168" s="49"/>
      <c r="X168" s="49"/>
      <c r="Y168" s="49"/>
      <c r="Z168" s="49"/>
      <c r="AA168" s="24">
        <v>384311.75386478356</v>
      </c>
      <c r="AB168" s="24">
        <f>AB79</f>
        <v>455989.51027998503</v>
      </c>
      <c r="AC168" s="24">
        <f>AC79</f>
        <v>421247.45235389087</v>
      </c>
      <c r="AD168" s="24"/>
      <c r="AE168" s="21"/>
    </row>
    <row r="169" spans="1:31" ht="12" customHeight="1" x14ac:dyDescent="0.2">
      <c r="A169" s="151" t="s">
        <v>61</v>
      </c>
      <c r="B169" s="151"/>
      <c r="C169" s="151"/>
      <c r="D169" s="15"/>
      <c r="E169" s="15"/>
      <c r="F169" s="15"/>
      <c r="G169" s="15"/>
      <c r="H169" s="15"/>
      <c r="I169" s="15"/>
      <c r="J169" s="15"/>
      <c r="K169" s="62"/>
      <c r="L169" s="24">
        <v>10252</v>
      </c>
      <c r="M169" s="26">
        <v>9390</v>
      </c>
      <c r="N169" s="15">
        <v>-236196</v>
      </c>
      <c r="O169" s="15">
        <v>-81450</v>
      </c>
      <c r="P169" s="15">
        <v>92909</v>
      </c>
      <c r="Q169" s="15">
        <v>18188</v>
      </c>
      <c r="R169" s="69">
        <f>((R4/365)*95)-Q169</f>
        <v>1007840.4375342467</v>
      </c>
      <c r="S169" s="69">
        <f t="shared" ref="S169:V169" si="81">((S4/365)*38)-R169</f>
        <v>-572804.38001972623</v>
      </c>
      <c r="T169" s="69">
        <f t="shared" si="81"/>
        <v>1033942.6009851182</v>
      </c>
      <c r="U169" s="69">
        <f t="shared" si="81"/>
        <v>-545136.08676180278</v>
      </c>
      <c r="V169" s="69">
        <f t="shared" si="81"/>
        <v>1063270.9918385171</v>
      </c>
      <c r="W169" s="49"/>
      <c r="X169" s="49"/>
      <c r="Y169" s="49"/>
      <c r="Z169" s="49"/>
      <c r="AA169" s="24"/>
      <c r="AB169" s="24"/>
      <c r="AC169" s="24"/>
      <c r="AD169" s="24"/>
      <c r="AE169" s="21"/>
    </row>
    <row r="170" spans="1:31" ht="12" customHeight="1" x14ac:dyDescent="0.2">
      <c r="A170" s="151" t="s">
        <v>116</v>
      </c>
      <c r="B170" s="151"/>
      <c r="C170" s="151"/>
      <c r="D170" s="24"/>
      <c r="E170" s="24"/>
      <c r="F170" s="24"/>
      <c r="G170" s="24"/>
      <c r="H170" s="24"/>
      <c r="I170" s="24"/>
      <c r="J170" s="24"/>
      <c r="K170" s="62"/>
      <c r="L170" s="24">
        <v>-14513</v>
      </c>
      <c r="M170" s="26">
        <v>-18490</v>
      </c>
      <c r="N170" s="26">
        <v>-176742</v>
      </c>
      <c r="O170" s="26">
        <v>43240</v>
      </c>
      <c r="P170" s="26">
        <v>-23174</v>
      </c>
      <c r="Q170" s="26">
        <v>-24348</v>
      </c>
      <c r="R170" s="49">
        <f>Q170*0.94</f>
        <v>-22887.119999999999</v>
      </c>
      <c r="S170" s="49">
        <f t="shared" ref="S170:V170" si="82">R170*0.94</f>
        <v>-21513.892799999998</v>
      </c>
      <c r="T170" s="49">
        <f t="shared" si="82"/>
        <v>-20223.059231999996</v>
      </c>
      <c r="U170" s="49">
        <f t="shared" si="82"/>
        <v>-19009.675678079995</v>
      </c>
      <c r="V170" s="49">
        <f t="shared" si="82"/>
        <v>-17869.095137395194</v>
      </c>
      <c r="W170" s="14"/>
      <c r="X170" s="14"/>
      <c r="Y170" s="14"/>
      <c r="Z170" s="14"/>
      <c r="AA170" s="15">
        <v>-20223.059231999996</v>
      </c>
      <c r="AB170" s="15">
        <v>-20223.059231999996</v>
      </c>
      <c r="AC170" s="15">
        <v>-20223.059231999996</v>
      </c>
      <c r="AD170" s="15"/>
      <c r="AE170" s="15"/>
    </row>
    <row r="171" spans="1:31" ht="12" customHeight="1" x14ac:dyDescent="0.2">
      <c r="A171" s="151" t="s">
        <v>77</v>
      </c>
      <c r="B171" s="151"/>
      <c r="C171" s="151"/>
      <c r="D171" s="24"/>
      <c r="E171" s="24"/>
      <c r="F171" s="24"/>
      <c r="G171" s="24"/>
      <c r="H171" s="24"/>
      <c r="I171" s="24"/>
      <c r="J171" s="24"/>
      <c r="K171" s="62"/>
      <c r="L171" s="15">
        <v>15425</v>
      </c>
      <c r="M171" s="26">
        <v>34201</v>
      </c>
      <c r="N171" s="26">
        <v>33950</v>
      </c>
      <c r="O171" s="26">
        <v>-115495</v>
      </c>
      <c r="P171" s="26">
        <v>89139</v>
      </c>
      <c r="Q171" s="26">
        <v>7178</v>
      </c>
      <c r="R171" s="49">
        <f>(R5/365)*46</f>
        <v>273247.5733643836</v>
      </c>
      <c r="S171" s="49">
        <f t="shared" ref="S171:V171" si="83">(S5/365)*46</f>
        <v>289642.42776624666</v>
      </c>
      <c r="T171" s="49">
        <f t="shared" si="83"/>
        <v>307020.97343222145</v>
      </c>
      <c r="U171" s="49">
        <f t="shared" si="83"/>
        <v>325442.23183815472</v>
      </c>
      <c r="V171" s="49">
        <f t="shared" si="83"/>
        <v>344968.76574844401</v>
      </c>
      <c r="W171" s="49"/>
      <c r="X171" s="49"/>
      <c r="Y171" s="49"/>
      <c r="Z171" s="49"/>
      <c r="AA171" s="24">
        <v>281683.96330164414</v>
      </c>
      <c r="AB171" s="24">
        <f>AB98</f>
        <v>280771.38035547012</v>
      </c>
      <c r="AC171" s="24">
        <f>AC98</f>
        <v>259379.27518552952</v>
      </c>
      <c r="AD171" s="24"/>
      <c r="AE171" s="21"/>
    </row>
    <row r="172" spans="1:31" ht="12" customHeight="1" x14ac:dyDescent="0.2">
      <c r="A172" s="151" t="s">
        <v>78</v>
      </c>
      <c r="B172" s="151"/>
      <c r="C172" s="151"/>
      <c r="D172" s="24"/>
      <c r="E172" s="24"/>
      <c r="F172" s="24"/>
      <c r="G172" s="24"/>
      <c r="H172" s="24"/>
      <c r="I172" s="24"/>
      <c r="J172" s="24"/>
      <c r="K172" s="62"/>
      <c r="L172" s="24">
        <v>48670</v>
      </c>
      <c r="M172" s="26">
        <v>30671</v>
      </c>
      <c r="N172" s="26">
        <v>-11815</v>
      </c>
      <c r="O172" s="26">
        <v>-17613</v>
      </c>
      <c r="P172" s="26">
        <v>130979</v>
      </c>
      <c r="Q172" s="26">
        <v>-45777</v>
      </c>
      <c r="R172" s="26">
        <v>-45777</v>
      </c>
      <c r="S172" s="26">
        <v>-45777</v>
      </c>
      <c r="T172" s="26">
        <v>-45777</v>
      </c>
      <c r="U172" s="26">
        <v>-45777</v>
      </c>
      <c r="V172" s="26">
        <v>-45777</v>
      </c>
      <c r="W172" s="49"/>
      <c r="X172" s="49"/>
      <c r="Y172" s="49"/>
      <c r="Z172" s="49"/>
      <c r="AA172" s="24">
        <v>-45777</v>
      </c>
      <c r="AB172" s="24">
        <v>-45777</v>
      </c>
      <c r="AC172" s="24">
        <v>-45777</v>
      </c>
      <c r="AD172" s="24"/>
      <c r="AE172" s="21"/>
    </row>
    <row r="173" spans="1:31" ht="12" customHeight="1" x14ac:dyDescent="0.2">
      <c r="A173" s="151" t="s">
        <v>117</v>
      </c>
      <c r="B173" s="151"/>
      <c r="C173" s="151"/>
      <c r="D173" s="24"/>
      <c r="E173" s="24"/>
      <c r="F173" s="24"/>
      <c r="G173" s="24"/>
      <c r="H173" s="24"/>
      <c r="I173" s="24"/>
      <c r="J173" s="24"/>
      <c r="K173" s="62"/>
      <c r="L173" s="24">
        <v>12935</v>
      </c>
      <c r="M173" s="30">
        <v>34618</v>
      </c>
      <c r="N173" s="26">
        <v>-3139</v>
      </c>
      <c r="O173" s="26">
        <v>-33240</v>
      </c>
      <c r="P173" s="26">
        <v>8681</v>
      </c>
      <c r="Q173" s="26">
        <v>-4103</v>
      </c>
      <c r="R173" s="49">
        <f>Q173*0.93</f>
        <v>-3815.7900000000004</v>
      </c>
      <c r="S173" s="49">
        <f t="shared" ref="S173:V173" si="84">R173*0.93</f>
        <v>-3548.6847000000007</v>
      </c>
      <c r="T173" s="49">
        <f t="shared" si="84"/>
        <v>-3300.2767710000007</v>
      </c>
      <c r="U173" s="49">
        <f t="shared" si="84"/>
        <v>-3069.2573970300009</v>
      </c>
      <c r="V173" s="49">
        <f t="shared" si="84"/>
        <v>-2854.4093792379008</v>
      </c>
      <c r="W173" s="49"/>
      <c r="X173" s="49"/>
      <c r="Y173" s="49"/>
      <c r="Z173" s="49"/>
      <c r="AA173" s="24">
        <v>-3300.2767710000007</v>
      </c>
      <c r="AB173" s="24">
        <v>-3300.2767710000007</v>
      </c>
      <c r="AC173" s="24">
        <v>-3300.2767710000007</v>
      </c>
      <c r="AD173" s="24"/>
      <c r="AE173" s="21"/>
    </row>
    <row r="174" spans="1:31" ht="12" customHeight="1" x14ac:dyDescent="0.2">
      <c r="A174" s="151" t="s">
        <v>118</v>
      </c>
      <c r="B174" s="151"/>
      <c r="C174" s="151"/>
      <c r="D174" s="29"/>
      <c r="E174" s="29"/>
      <c r="F174" s="29"/>
      <c r="G174" s="29"/>
      <c r="H174" s="29"/>
      <c r="I174" s="29"/>
      <c r="J174" s="29"/>
      <c r="K174" s="62"/>
      <c r="L174" s="24">
        <v>-15149</v>
      </c>
      <c r="M174" s="26">
        <v>-20778</v>
      </c>
      <c r="N174" s="26">
        <v>-21963</v>
      </c>
      <c r="O174" s="26">
        <v>36762</v>
      </c>
      <c r="P174" s="26">
        <v>-50354</v>
      </c>
      <c r="Q174" s="26">
        <v>15662</v>
      </c>
      <c r="R174" s="49">
        <f>Q174*1.03</f>
        <v>16131.86</v>
      </c>
      <c r="S174" s="49">
        <f t="shared" ref="S174:V174" si="85">R174*1.03</f>
        <v>16615.8158</v>
      </c>
      <c r="T174" s="49">
        <f t="shared" si="85"/>
        <v>17114.290273999999</v>
      </c>
      <c r="U174" s="49">
        <f t="shared" si="85"/>
        <v>17627.718982219998</v>
      </c>
      <c r="V174" s="49">
        <f t="shared" si="85"/>
        <v>18156.5505516866</v>
      </c>
      <c r="W174" s="49"/>
      <c r="X174" s="49"/>
      <c r="Y174" s="49"/>
      <c r="Z174" s="49"/>
      <c r="AA174" s="24">
        <v>17114.290273999999</v>
      </c>
      <c r="AB174" s="24">
        <v>17114.290273999999</v>
      </c>
      <c r="AC174" s="24">
        <v>17114.290273999999</v>
      </c>
      <c r="AD174" s="24"/>
      <c r="AE174" s="21"/>
    </row>
    <row r="175" spans="1:31" ht="12" customHeight="1" x14ac:dyDescent="0.2">
      <c r="A175" s="151" t="s">
        <v>119</v>
      </c>
      <c r="B175" s="151"/>
      <c r="C175" s="151"/>
      <c r="D175" s="24"/>
      <c r="E175" s="24"/>
      <c r="F175" s="24"/>
      <c r="G175" s="24"/>
      <c r="H175" s="24"/>
      <c r="I175" s="24"/>
      <c r="J175" s="24"/>
      <c r="K175" s="24"/>
      <c r="L175" s="24">
        <v>945646</v>
      </c>
      <c r="M175" s="26">
        <v>1301853</v>
      </c>
      <c r="N175" s="26">
        <v>1049243</v>
      </c>
      <c r="O175" s="26">
        <v>843231</v>
      </c>
      <c r="P175" s="26">
        <v>833189</v>
      </c>
      <c r="Q175" s="26">
        <v>622202</v>
      </c>
      <c r="R175" s="14"/>
      <c r="S175" s="14"/>
      <c r="T175" s="14"/>
      <c r="U175" s="14"/>
      <c r="V175" s="15"/>
      <c r="W175" s="14"/>
      <c r="X175" s="14"/>
      <c r="Y175" s="14"/>
      <c r="Z175" s="14"/>
      <c r="AA175" s="15"/>
      <c r="AB175" s="15"/>
      <c r="AC175" s="15"/>
      <c r="AD175" s="15"/>
      <c r="AE175" s="21"/>
    </row>
    <row r="176" spans="1:31" ht="12" customHeight="1" x14ac:dyDescent="0.2">
      <c r="A176" s="27" t="s">
        <v>120</v>
      </c>
      <c r="B176" s="23"/>
      <c r="C176" s="18"/>
      <c r="D176" s="18"/>
      <c r="E176" s="18"/>
      <c r="F176" s="18"/>
      <c r="G176" s="18"/>
      <c r="H176" s="18"/>
      <c r="I176" s="18"/>
      <c r="J176" s="18"/>
      <c r="K176" s="29">
        <f>K175</f>
        <v>0</v>
      </c>
      <c r="L176" s="30">
        <f>L175</f>
        <v>945646</v>
      </c>
      <c r="M176" s="30">
        <f t="shared" ref="M176:Q176" si="86">M175</f>
        <v>1301853</v>
      </c>
      <c r="N176" s="30">
        <f t="shared" si="86"/>
        <v>1049243</v>
      </c>
      <c r="O176" s="30">
        <f t="shared" si="86"/>
        <v>843231</v>
      </c>
      <c r="P176" s="30">
        <f t="shared" si="86"/>
        <v>833189</v>
      </c>
      <c r="Q176" s="30">
        <f t="shared" si="86"/>
        <v>622202</v>
      </c>
      <c r="R176" s="49">
        <f>SUM(R165:R174)</f>
        <v>1754202.3785323289</v>
      </c>
      <c r="S176" s="49">
        <f t="shared" ref="S176:V176" si="87">SUM(S165:S174)</f>
        <v>-131344.50627545768</v>
      </c>
      <c r="T176" s="49">
        <f t="shared" si="87"/>
        <v>1862370.1638407419</v>
      </c>
      <c r="U176" s="49">
        <f t="shared" si="87"/>
        <v>-17102.830768690768</v>
      </c>
      <c r="V176" s="49">
        <f t="shared" si="87"/>
        <v>1983073.1511784317</v>
      </c>
      <c r="W176" s="14"/>
      <c r="X176" s="14"/>
      <c r="Y176" s="14"/>
      <c r="Z176" s="14"/>
      <c r="AA176" s="15">
        <f>SUM(AA156:AA175)</f>
        <v>1276437.8523163404</v>
      </c>
      <c r="AB176" s="15">
        <f>SUM(AB156:AB175)</f>
        <v>1712499.3817869602</v>
      </c>
      <c r="AC176" s="15">
        <f>SUM(AC156:AC175)</f>
        <v>997431.69434532244</v>
      </c>
      <c r="AD176" s="15"/>
      <c r="AE176" s="21"/>
    </row>
    <row r="177" spans="1:31" ht="12" customHeight="1" x14ac:dyDescent="0.2">
      <c r="A177" s="17"/>
      <c r="B177" s="23"/>
      <c r="C177" s="24"/>
      <c r="D177" s="24"/>
      <c r="E177" s="24"/>
      <c r="F177" s="24"/>
      <c r="G177" s="24"/>
      <c r="H177" s="24"/>
      <c r="I177" s="24"/>
      <c r="J177" s="24"/>
      <c r="K177" s="18"/>
      <c r="L177" s="18"/>
      <c r="M177" s="18"/>
      <c r="N177" s="18"/>
      <c r="O177" s="18"/>
      <c r="P177" s="18"/>
      <c r="Q177" s="18"/>
      <c r="S177" s="49"/>
      <c r="T177" s="49"/>
      <c r="U177" s="49"/>
      <c r="V177" s="24"/>
      <c r="W177" s="49"/>
      <c r="X177" s="49"/>
      <c r="Y177" s="49"/>
      <c r="Z177" s="49"/>
      <c r="AA177" s="24"/>
      <c r="AB177" s="24"/>
      <c r="AC177" s="24"/>
      <c r="AD177" s="24"/>
      <c r="AE177" s="21"/>
    </row>
    <row r="178" spans="1:31" ht="12" customHeight="1" x14ac:dyDescent="0.2">
      <c r="A178" s="16" t="s">
        <v>121</v>
      </c>
      <c r="B178" s="23"/>
      <c r="C178" s="24"/>
      <c r="D178" s="24"/>
      <c r="E178" s="24"/>
      <c r="F178" s="24"/>
      <c r="G178" s="24"/>
      <c r="H178" s="24"/>
      <c r="I178" s="24"/>
      <c r="J178" s="24"/>
      <c r="K178" s="18"/>
      <c r="L178" s="18"/>
      <c r="M178" s="18"/>
      <c r="N178" s="18"/>
      <c r="O178" s="18"/>
      <c r="P178" s="18"/>
      <c r="Q178" s="18"/>
      <c r="R178" s="49"/>
      <c r="S178" s="49"/>
      <c r="T178" s="49"/>
      <c r="U178" s="49"/>
      <c r="V178" s="24"/>
      <c r="W178" s="49"/>
      <c r="X178" s="49"/>
      <c r="Y178" s="49"/>
      <c r="Z178" s="49"/>
      <c r="AA178" s="24"/>
      <c r="AB178" s="24"/>
      <c r="AC178" s="24"/>
      <c r="AD178" s="24"/>
      <c r="AE178" s="21"/>
    </row>
    <row r="179" spans="1:31" ht="12" customHeight="1" x14ac:dyDescent="0.2">
      <c r="A179" s="151" t="s">
        <v>122</v>
      </c>
      <c r="B179" s="151"/>
      <c r="C179" s="151"/>
      <c r="D179" s="24"/>
      <c r="E179" s="24"/>
      <c r="F179" s="24"/>
      <c r="G179" s="24"/>
      <c r="H179" s="24"/>
      <c r="I179" s="24"/>
      <c r="J179" s="24"/>
      <c r="K179" s="24"/>
      <c r="L179" s="26">
        <v>-164104</v>
      </c>
      <c r="M179" s="26">
        <v>-164104</v>
      </c>
      <c r="N179" s="26">
        <v>-213466</v>
      </c>
      <c r="O179" s="26">
        <v>-158953</v>
      </c>
      <c r="P179" s="26">
        <v>-127230</v>
      </c>
      <c r="Q179" s="26">
        <v>-137600</v>
      </c>
      <c r="R179" s="26">
        <v>-137600</v>
      </c>
      <c r="S179" s="26">
        <v>-137600</v>
      </c>
      <c r="T179" s="26">
        <v>-137600</v>
      </c>
      <c r="U179" s="26">
        <v>-137600</v>
      </c>
      <c r="V179" s="26">
        <v>-137600</v>
      </c>
      <c r="W179" s="49"/>
      <c r="X179" s="49"/>
      <c r="Y179" s="49"/>
      <c r="Z179" s="49"/>
      <c r="AA179" s="24">
        <v>-137600</v>
      </c>
      <c r="AB179" s="24">
        <v>-137600</v>
      </c>
      <c r="AC179" s="24">
        <v>-137600</v>
      </c>
      <c r="AD179" s="24"/>
      <c r="AE179" s="21"/>
    </row>
    <row r="180" spans="1:31" ht="12" customHeight="1" x14ac:dyDescent="0.2">
      <c r="A180" s="151" t="s">
        <v>123</v>
      </c>
      <c r="B180" s="151"/>
      <c r="C180" s="151"/>
      <c r="D180" s="24"/>
      <c r="E180" s="24"/>
      <c r="F180" s="24"/>
      <c r="G180" s="24"/>
      <c r="H180" s="24"/>
      <c r="I180" s="24"/>
      <c r="J180" s="24"/>
      <c r="K180" s="24"/>
      <c r="L180" s="26" t="s">
        <v>81</v>
      </c>
      <c r="M180" s="26" t="s">
        <v>81</v>
      </c>
      <c r="P180" s="26">
        <v>49548</v>
      </c>
      <c r="Q180" s="26">
        <v>7059</v>
      </c>
      <c r="R180" s="49"/>
      <c r="S180" s="49"/>
      <c r="T180" s="49"/>
      <c r="U180" s="49"/>
      <c r="V180" s="24"/>
      <c r="W180" s="49"/>
      <c r="X180" s="49"/>
      <c r="Y180" s="49"/>
      <c r="Z180" s="49"/>
      <c r="AA180" s="24"/>
      <c r="AB180" s="24"/>
      <c r="AC180" s="24"/>
      <c r="AD180" s="24"/>
      <c r="AE180" s="21"/>
    </row>
    <row r="181" spans="1:31" ht="12" customHeight="1" x14ac:dyDescent="0.2">
      <c r="A181" s="151" t="s">
        <v>124</v>
      </c>
      <c r="B181" s="151"/>
      <c r="C181" s="151"/>
      <c r="D181" s="24"/>
      <c r="E181" s="24"/>
      <c r="F181" s="24"/>
      <c r="G181" s="24"/>
      <c r="H181" s="24"/>
      <c r="I181" s="24"/>
      <c r="J181" s="24"/>
      <c r="K181" s="24"/>
      <c r="L181" s="26">
        <v>1950</v>
      </c>
      <c r="M181" s="26"/>
      <c r="P181" s="26">
        <v>-82974</v>
      </c>
      <c r="Q181" s="26">
        <v>-791</v>
      </c>
      <c r="R181" s="26">
        <v>-791</v>
      </c>
      <c r="S181" s="26">
        <v>-791</v>
      </c>
      <c r="T181" s="26">
        <v>-791</v>
      </c>
      <c r="U181" s="26">
        <v>-791</v>
      </c>
      <c r="V181" s="26">
        <v>-791</v>
      </c>
      <c r="W181" s="49"/>
      <c r="X181" s="49"/>
      <c r="Y181" s="49"/>
      <c r="Z181" s="49"/>
      <c r="AA181" s="24">
        <v>-791</v>
      </c>
      <c r="AB181" s="24">
        <v>-791</v>
      </c>
      <c r="AC181" s="24">
        <v>-791</v>
      </c>
      <c r="AD181" s="24"/>
      <c r="AE181" s="21"/>
    </row>
    <row r="182" spans="1:31" ht="12" customHeight="1" x14ac:dyDescent="0.2">
      <c r="A182" s="151" t="s">
        <v>125</v>
      </c>
      <c r="B182" s="151"/>
      <c r="C182" s="151"/>
      <c r="D182" s="29"/>
      <c r="E182" s="29"/>
      <c r="F182" s="29"/>
      <c r="G182" s="29"/>
      <c r="H182" s="29"/>
      <c r="I182" s="29"/>
      <c r="J182" s="29"/>
      <c r="K182" s="24"/>
      <c r="L182" s="26">
        <v>-946043</v>
      </c>
      <c r="M182" s="30"/>
      <c r="N182" s="26">
        <v>-389136</v>
      </c>
      <c r="O182" s="26">
        <v>-95</v>
      </c>
      <c r="P182" s="26">
        <v>20000</v>
      </c>
      <c r="Q182" s="26">
        <v>173117</v>
      </c>
      <c r="R182" s="49"/>
      <c r="S182" s="49"/>
      <c r="T182" s="49"/>
      <c r="U182" s="49"/>
      <c r="V182" s="24"/>
      <c r="W182" s="49"/>
      <c r="X182" s="49"/>
      <c r="Y182" s="49"/>
      <c r="Z182" s="49"/>
      <c r="AA182" s="24"/>
      <c r="AB182" s="24"/>
      <c r="AC182" s="24"/>
      <c r="AD182" s="24"/>
      <c r="AE182" s="21"/>
    </row>
    <row r="183" spans="1:31" ht="12" customHeight="1" x14ac:dyDescent="0.2">
      <c r="A183" s="151" t="s">
        <v>126</v>
      </c>
      <c r="B183" s="151"/>
      <c r="C183" s="151"/>
      <c r="D183" s="18"/>
      <c r="E183" s="18"/>
      <c r="F183" s="18"/>
      <c r="G183" s="18"/>
      <c r="H183" s="18"/>
      <c r="I183" s="18"/>
      <c r="J183" s="18"/>
      <c r="K183" s="24"/>
      <c r="L183" s="26">
        <v>2455</v>
      </c>
      <c r="M183" s="26">
        <v>2455</v>
      </c>
      <c r="N183" s="26">
        <v>6646</v>
      </c>
      <c r="O183" s="26">
        <v>5639</v>
      </c>
      <c r="P183" s="26">
        <v>4186</v>
      </c>
      <c r="Q183" s="26">
        <v>-5230</v>
      </c>
      <c r="R183" s="49"/>
      <c r="S183" s="49"/>
      <c r="T183" s="49"/>
      <c r="U183" s="49"/>
      <c r="V183" s="24"/>
      <c r="W183" s="49"/>
      <c r="X183" s="49"/>
      <c r="Y183" s="49"/>
      <c r="Z183" s="49"/>
      <c r="AA183" s="24"/>
      <c r="AB183" s="24"/>
      <c r="AC183" s="24"/>
      <c r="AD183" s="24"/>
      <c r="AE183" s="21"/>
    </row>
    <row r="184" spans="1:31" ht="12" customHeight="1" x14ac:dyDescent="0.2">
      <c r="A184" s="62" t="s">
        <v>127</v>
      </c>
      <c r="B184" s="62"/>
      <c r="C184" s="62"/>
      <c r="D184" s="18"/>
      <c r="E184" s="18"/>
      <c r="F184" s="18"/>
      <c r="G184" s="18"/>
      <c r="H184" s="18"/>
      <c r="I184" s="18"/>
      <c r="J184" s="18"/>
      <c r="K184" s="24"/>
      <c r="L184" s="26"/>
      <c r="M184" s="26"/>
      <c r="N184" s="26"/>
      <c r="O184" s="26"/>
      <c r="P184" s="26"/>
      <c r="Q184" s="26"/>
      <c r="R184" s="49"/>
      <c r="S184" s="49"/>
      <c r="T184" s="49"/>
      <c r="U184" s="49"/>
      <c r="V184" s="24"/>
      <c r="W184" s="49"/>
      <c r="X184" s="49"/>
      <c r="Y184" s="49"/>
      <c r="Z184" s="49"/>
      <c r="AA184" s="24">
        <f>AA132*AA4</f>
        <v>-149114.7449857101</v>
      </c>
      <c r="AB184" s="24">
        <f t="shared" ref="AB184:AC184" si="88">AB132*AB4</f>
        <v>-156570.48223499561</v>
      </c>
      <c r="AC184" s="24">
        <f t="shared" si="88"/>
        <v>-144641.30263613877</v>
      </c>
      <c r="AD184" s="24"/>
      <c r="AE184" s="21"/>
    </row>
    <row r="185" spans="1:31" ht="12" customHeight="1" x14ac:dyDescent="0.2">
      <c r="A185" s="27" t="s">
        <v>128</v>
      </c>
      <c r="B185" s="23"/>
      <c r="C185" s="18"/>
      <c r="D185" s="18"/>
      <c r="E185" s="18"/>
      <c r="F185" s="18"/>
      <c r="G185" s="18"/>
      <c r="H185" s="18"/>
      <c r="I185" s="18"/>
      <c r="J185" s="18"/>
      <c r="K185" s="30">
        <f t="shared" ref="K185:Q185" si="89">SUM(K179:K183)</f>
        <v>0</v>
      </c>
      <c r="L185" s="30">
        <f t="shared" si="89"/>
        <v>-1105742</v>
      </c>
      <c r="M185" s="30">
        <f t="shared" si="89"/>
        <v>-161649</v>
      </c>
      <c r="N185" s="30">
        <f t="shared" si="89"/>
        <v>-595956</v>
      </c>
      <c r="O185" s="30">
        <f t="shared" si="89"/>
        <v>-153409</v>
      </c>
      <c r="P185" s="30">
        <f t="shared" si="89"/>
        <v>-136470</v>
      </c>
      <c r="Q185" s="30">
        <f t="shared" si="89"/>
        <v>36555</v>
      </c>
      <c r="R185" s="49"/>
      <c r="S185" s="49"/>
      <c r="T185" s="49"/>
      <c r="U185" s="49"/>
      <c r="V185" s="24"/>
      <c r="W185" s="49"/>
      <c r="X185" s="49"/>
      <c r="Y185" s="49"/>
      <c r="Z185" s="49"/>
      <c r="AA185" s="24"/>
      <c r="AB185" s="24"/>
      <c r="AC185" s="24"/>
      <c r="AD185" s="24"/>
      <c r="AE185" s="21"/>
    </row>
    <row r="186" spans="1:31" ht="12" customHeight="1" x14ac:dyDescent="0.2">
      <c r="A186" s="17"/>
      <c r="B186" s="23"/>
      <c r="C186" s="24"/>
      <c r="D186" s="24"/>
      <c r="E186" s="24"/>
      <c r="F186" s="24"/>
      <c r="G186" s="24"/>
      <c r="H186" s="24"/>
      <c r="I186" s="24"/>
      <c r="J186" s="24"/>
      <c r="K186" s="18"/>
      <c r="L186" s="18"/>
      <c r="M186" s="18"/>
      <c r="N186" s="18"/>
      <c r="O186" s="18"/>
      <c r="P186" s="18"/>
      <c r="Q186" s="18"/>
      <c r="R186" s="49"/>
      <c r="S186" s="49"/>
      <c r="T186" s="49"/>
      <c r="U186" s="49"/>
      <c r="V186" s="24"/>
      <c r="W186" s="49"/>
      <c r="X186" s="49"/>
      <c r="Y186" s="49"/>
      <c r="Z186" s="49"/>
      <c r="AA186" s="24"/>
      <c r="AB186" s="24"/>
      <c r="AC186" s="24"/>
      <c r="AD186" s="24"/>
      <c r="AE186" s="21"/>
    </row>
    <row r="187" spans="1:31" ht="12" customHeight="1" x14ac:dyDescent="0.2">
      <c r="A187" s="16" t="s">
        <v>129</v>
      </c>
      <c r="B187" s="36"/>
      <c r="C187" s="24"/>
      <c r="D187" s="24"/>
      <c r="E187" s="24"/>
      <c r="F187" s="24"/>
      <c r="G187" s="24"/>
      <c r="H187" s="24"/>
      <c r="I187" s="24"/>
      <c r="J187" s="24"/>
      <c r="K187" s="18"/>
      <c r="L187" s="18"/>
      <c r="M187" s="18"/>
      <c r="N187" s="18"/>
      <c r="O187" s="18"/>
      <c r="P187" s="18"/>
      <c r="R187" s="49"/>
      <c r="S187" s="49"/>
      <c r="T187" s="49"/>
      <c r="U187" s="49"/>
      <c r="V187" s="24"/>
      <c r="W187" s="49"/>
      <c r="X187" s="49"/>
      <c r="Y187" s="49"/>
      <c r="Z187" s="49"/>
      <c r="AA187" s="24"/>
      <c r="AB187" s="24"/>
      <c r="AC187" s="24"/>
      <c r="AD187" s="24"/>
      <c r="AE187" s="21"/>
    </row>
    <row r="188" spans="1:31" ht="12" customHeight="1" x14ac:dyDescent="0.2">
      <c r="A188" s="151" t="s">
        <v>130</v>
      </c>
      <c r="B188" s="151"/>
      <c r="C188" s="151"/>
      <c r="D188" s="24"/>
      <c r="E188" s="24"/>
      <c r="F188" s="24"/>
      <c r="G188" s="24"/>
      <c r="H188" s="24"/>
      <c r="I188" s="24"/>
      <c r="J188" s="24"/>
      <c r="K188" s="24"/>
      <c r="L188" s="26" t="s">
        <v>81</v>
      </c>
      <c r="M188" s="26">
        <v>-1087994</v>
      </c>
      <c r="N188" s="26">
        <v>-197500</v>
      </c>
      <c r="O188" s="26" t="s">
        <v>81</v>
      </c>
      <c r="P188" s="26">
        <v>-58309</v>
      </c>
      <c r="Q188" s="66">
        <v>-439124</v>
      </c>
      <c r="R188" s="66">
        <v>-439124</v>
      </c>
      <c r="S188" s="66">
        <v>-439124</v>
      </c>
      <c r="T188" s="66">
        <v>-439124</v>
      </c>
      <c r="U188" s="66">
        <v>-439124</v>
      </c>
      <c r="V188" s="66">
        <v>-439124</v>
      </c>
      <c r="W188" s="50"/>
      <c r="X188" s="50"/>
      <c r="Y188" s="50"/>
      <c r="Z188" s="50"/>
      <c r="AA188" s="29">
        <v>-439124</v>
      </c>
      <c r="AB188" s="29">
        <v>-439124</v>
      </c>
      <c r="AC188" s="29">
        <v>-439124</v>
      </c>
      <c r="AD188" s="29"/>
      <c r="AE188" s="21"/>
    </row>
    <row r="189" spans="1:31" ht="12" customHeight="1" x14ac:dyDescent="0.2">
      <c r="A189" s="151" t="s">
        <v>131</v>
      </c>
      <c r="B189" s="151"/>
      <c r="C189" s="151"/>
      <c r="D189" s="24"/>
      <c r="E189" s="24"/>
      <c r="F189" s="24"/>
      <c r="G189" s="24"/>
      <c r="H189" s="24"/>
      <c r="I189" s="24"/>
      <c r="J189" s="24"/>
      <c r="K189" s="24"/>
      <c r="L189" s="26">
        <v>659000</v>
      </c>
      <c r="M189">
        <v>1206750</v>
      </c>
      <c r="N189" s="26">
        <v>499070</v>
      </c>
      <c r="O189" s="26" t="s">
        <v>81</v>
      </c>
      <c r="P189" s="26" t="s">
        <v>81</v>
      </c>
      <c r="Q189" s="26">
        <v>130204</v>
      </c>
      <c r="R189" s="26">
        <v>130204</v>
      </c>
      <c r="S189" s="26">
        <v>130204</v>
      </c>
      <c r="T189" s="26">
        <v>130204</v>
      </c>
      <c r="U189" s="26">
        <v>130204</v>
      </c>
      <c r="V189" s="26">
        <v>130204</v>
      </c>
      <c r="W189" s="51"/>
      <c r="X189" s="51"/>
      <c r="Y189" s="51"/>
      <c r="Z189" s="51"/>
      <c r="AA189" s="18">
        <v>130204</v>
      </c>
      <c r="AB189" s="18">
        <v>130204</v>
      </c>
      <c r="AC189" s="18">
        <v>130204</v>
      </c>
      <c r="AD189" s="18"/>
      <c r="AE189" s="21"/>
    </row>
    <row r="190" spans="1:31" ht="12" customHeight="1" x14ac:dyDescent="0.2">
      <c r="A190" s="151" t="s">
        <v>132</v>
      </c>
      <c r="B190" s="151"/>
      <c r="C190" s="151"/>
      <c r="D190" s="15"/>
      <c r="E190" s="15"/>
      <c r="F190" s="15"/>
      <c r="G190" s="15"/>
      <c r="H190" s="15"/>
      <c r="I190" s="15"/>
      <c r="J190" s="15"/>
      <c r="K190" s="24"/>
      <c r="L190" s="26">
        <v>-515131</v>
      </c>
      <c r="M190" s="26">
        <v>-515084</v>
      </c>
      <c r="N190" s="26">
        <v>-1152287</v>
      </c>
      <c r="O190" s="26">
        <v>-861751</v>
      </c>
      <c r="P190" s="26">
        <v>-400054</v>
      </c>
      <c r="Q190" s="26">
        <v>-356336</v>
      </c>
      <c r="R190" s="26">
        <v>-356336</v>
      </c>
      <c r="S190" s="26">
        <v>-356336</v>
      </c>
      <c r="T190" s="26">
        <v>-356336</v>
      </c>
      <c r="U190" s="26">
        <v>-356336</v>
      </c>
      <c r="V190" s="26">
        <v>-356336</v>
      </c>
      <c r="W190" s="51"/>
      <c r="X190" s="51"/>
      <c r="Y190" s="51"/>
      <c r="Z190" s="51"/>
      <c r="AA190" s="18">
        <v>-356336</v>
      </c>
      <c r="AB190" s="18">
        <v>-356336</v>
      </c>
      <c r="AC190" s="18">
        <v>-356336</v>
      </c>
      <c r="AD190" s="18"/>
      <c r="AE190" s="21"/>
    </row>
    <row r="191" spans="1:31" ht="12" customHeight="1" x14ac:dyDescent="0.2">
      <c r="A191" s="151" t="s">
        <v>133</v>
      </c>
      <c r="B191" s="151"/>
      <c r="C191" s="151"/>
      <c r="D191" s="24"/>
      <c r="E191" s="24"/>
      <c r="F191" s="24"/>
      <c r="G191" s="24"/>
      <c r="H191" s="24"/>
      <c r="I191" s="24"/>
      <c r="J191" s="24"/>
      <c r="K191" s="24"/>
      <c r="L191" s="26">
        <v>50198</v>
      </c>
      <c r="M191" s="26">
        <v>42598</v>
      </c>
      <c r="N191" s="26">
        <v>38303</v>
      </c>
      <c r="O191" s="26">
        <v>32507</v>
      </c>
      <c r="P191" s="26">
        <v>36918</v>
      </c>
      <c r="Q191" s="26">
        <v>35741</v>
      </c>
      <c r="R191" s="26">
        <v>35741</v>
      </c>
      <c r="S191" s="26">
        <v>35741</v>
      </c>
      <c r="T191" s="26">
        <v>35741</v>
      </c>
      <c r="U191" s="26">
        <v>35741</v>
      </c>
      <c r="V191" s="26">
        <v>35741</v>
      </c>
      <c r="W191" s="51"/>
      <c r="X191" s="51"/>
      <c r="Y191" s="51"/>
      <c r="Z191" s="51"/>
      <c r="AA191" s="18">
        <v>35741</v>
      </c>
      <c r="AB191" s="18">
        <v>35741</v>
      </c>
      <c r="AC191" s="18">
        <v>35741</v>
      </c>
      <c r="AD191" s="18"/>
      <c r="AE191" s="21"/>
    </row>
    <row r="192" spans="1:31" ht="12" customHeight="1" x14ac:dyDescent="0.2">
      <c r="A192" s="151" t="s">
        <v>134</v>
      </c>
      <c r="B192" s="151"/>
      <c r="C192" s="151"/>
      <c r="D192" s="24"/>
      <c r="E192" s="24"/>
      <c r="F192" s="24"/>
      <c r="G192" s="24"/>
      <c r="H192" s="24"/>
      <c r="I192" s="24"/>
      <c r="J192" s="24"/>
      <c r="K192" s="15"/>
      <c r="L192" s="15">
        <v>-21791</v>
      </c>
      <c r="M192" s="15">
        <v>-38658</v>
      </c>
      <c r="N192" s="15">
        <v>-53382</v>
      </c>
      <c r="O192" s="15">
        <v>-23415</v>
      </c>
      <c r="P192" s="15">
        <v>-27111</v>
      </c>
      <c r="Q192" s="15">
        <v>-31250</v>
      </c>
      <c r="R192" s="15">
        <v>-31250</v>
      </c>
      <c r="S192" s="15">
        <v>-31250</v>
      </c>
      <c r="T192" s="15">
        <v>-31250</v>
      </c>
      <c r="U192" s="15">
        <v>-31250</v>
      </c>
      <c r="V192" s="15">
        <v>-31250</v>
      </c>
      <c r="W192" s="51"/>
      <c r="X192" s="51"/>
      <c r="Y192" s="51"/>
      <c r="Z192" s="51"/>
      <c r="AA192" s="18">
        <v>-31250</v>
      </c>
      <c r="AB192" s="18">
        <v>-31250</v>
      </c>
      <c r="AC192" s="18">
        <v>-31250</v>
      </c>
      <c r="AD192" s="18"/>
      <c r="AE192" s="21"/>
    </row>
    <row r="193" spans="1:31" ht="12" customHeight="1" x14ac:dyDescent="0.2">
      <c r="A193" s="151" t="s">
        <v>135</v>
      </c>
      <c r="B193" s="151"/>
      <c r="C193" s="151"/>
      <c r="D193" s="24"/>
      <c r="E193" s="24"/>
      <c r="F193" s="24"/>
      <c r="G193" s="24"/>
      <c r="H193" s="24"/>
      <c r="I193" s="24"/>
      <c r="J193" s="24"/>
      <c r="K193" s="24"/>
      <c r="L193" s="26">
        <v>-6717</v>
      </c>
      <c r="M193" s="26">
        <v>-9535</v>
      </c>
      <c r="N193" s="26">
        <v>-9714</v>
      </c>
      <c r="O193" s="26">
        <v>-694</v>
      </c>
      <c r="P193" s="26">
        <v>-11018</v>
      </c>
      <c r="Q193" s="26">
        <v>-23597</v>
      </c>
      <c r="R193" s="26">
        <v>-23597</v>
      </c>
      <c r="S193" s="26">
        <v>-23597</v>
      </c>
      <c r="T193" s="26">
        <v>-23597</v>
      </c>
      <c r="U193" s="26">
        <v>-23597</v>
      </c>
      <c r="V193" s="26">
        <v>-23597</v>
      </c>
      <c r="W193" s="51"/>
      <c r="X193" s="51"/>
      <c r="Y193" s="51"/>
      <c r="Z193" s="51"/>
      <c r="AA193" s="18">
        <v>-23597</v>
      </c>
      <c r="AB193" s="18">
        <v>-23597</v>
      </c>
      <c r="AC193" s="18">
        <v>-23597</v>
      </c>
      <c r="AD193" s="18"/>
      <c r="AE193" s="21"/>
    </row>
    <row r="194" spans="1:31" ht="12" customHeight="1" x14ac:dyDescent="0.2">
      <c r="A194" s="22"/>
      <c r="B194" s="23"/>
      <c r="C194" s="24"/>
      <c r="D194" s="24"/>
      <c r="E194" s="24"/>
      <c r="F194" s="24"/>
      <c r="G194" s="24"/>
      <c r="H194" s="24"/>
      <c r="I194" s="24"/>
      <c r="J194" s="24"/>
      <c r="K194" s="24"/>
      <c r="L194" s="26"/>
      <c r="M194" s="26"/>
      <c r="N194" s="26"/>
      <c r="O194" s="26"/>
      <c r="P194" s="26"/>
      <c r="Q194" s="26"/>
      <c r="R194" s="51"/>
      <c r="S194" s="51"/>
      <c r="T194" s="51"/>
      <c r="U194" s="51"/>
      <c r="V194" s="24"/>
      <c r="W194" s="51"/>
      <c r="X194" s="51"/>
      <c r="Y194" s="51"/>
      <c r="Z194" s="51"/>
      <c r="AA194" s="24"/>
      <c r="AB194" s="24"/>
      <c r="AC194" s="24"/>
      <c r="AD194" s="24"/>
      <c r="AE194" s="21"/>
    </row>
    <row r="195" spans="1:31" ht="12" customHeight="1" x14ac:dyDescent="0.2">
      <c r="A195" s="22"/>
      <c r="B195" s="23"/>
      <c r="C195" s="15"/>
      <c r="D195" s="15"/>
      <c r="E195" s="15"/>
      <c r="F195" s="15"/>
      <c r="G195" s="15"/>
      <c r="H195" s="15"/>
      <c r="I195" s="15"/>
      <c r="J195" s="15"/>
      <c r="K195" s="24"/>
      <c r="L195" s="26"/>
      <c r="M195" s="26"/>
      <c r="N195" s="26"/>
      <c r="O195" s="26"/>
      <c r="P195" s="26"/>
      <c r="Q195" s="26"/>
      <c r="R195" s="51"/>
      <c r="S195" s="51"/>
      <c r="T195" s="51"/>
      <c r="U195" s="51"/>
      <c r="V195" s="18"/>
      <c r="W195" s="51"/>
      <c r="X195" s="51"/>
      <c r="Y195" s="51"/>
      <c r="Z195" s="51"/>
      <c r="AA195" s="18"/>
      <c r="AB195" s="18"/>
      <c r="AC195" s="18"/>
      <c r="AD195" s="18"/>
      <c r="AE195" s="21"/>
    </row>
    <row r="196" spans="1:31" ht="12" customHeight="1" x14ac:dyDescent="0.2">
      <c r="A196" s="22"/>
      <c r="B196" s="23"/>
      <c r="C196" s="15"/>
      <c r="D196" s="15"/>
      <c r="E196" s="15"/>
      <c r="F196" s="15"/>
      <c r="G196" s="15"/>
      <c r="H196" s="15"/>
      <c r="I196" s="15"/>
      <c r="J196" s="15"/>
      <c r="K196" s="24"/>
      <c r="L196" s="26"/>
      <c r="M196" s="26"/>
      <c r="N196" s="26"/>
      <c r="O196" s="26"/>
      <c r="P196" s="26"/>
      <c r="Q196" s="26"/>
      <c r="R196" s="51"/>
      <c r="S196" s="51"/>
      <c r="T196" s="51"/>
      <c r="U196" s="51"/>
      <c r="V196" s="18"/>
      <c r="W196" s="51"/>
      <c r="X196" s="51"/>
      <c r="Y196" s="51"/>
      <c r="Z196" s="51"/>
      <c r="AA196" s="18"/>
      <c r="AB196" s="18"/>
      <c r="AC196" s="18"/>
      <c r="AD196" s="18"/>
      <c r="AE196" s="21"/>
    </row>
    <row r="197" spans="1:31" ht="12" customHeight="1" x14ac:dyDescent="0.2">
      <c r="A197" s="36"/>
      <c r="B197" s="23"/>
      <c r="C197" s="24"/>
      <c r="D197" s="24"/>
      <c r="E197" s="24"/>
      <c r="F197" s="24"/>
      <c r="G197" s="24"/>
      <c r="H197" s="24"/>
      <c r="I197" s="24"/>
      <c r="J197" s="24"/>
      <c r="K197" s="15"/>
      <c r="L197" s="15"/>
      <c r="M197" s="15"/>
      <c r="N197" s="15"/>
      <c r="O197" s="15"/>
      <c r="P197" s="15"/>
      <c r="Q197" s="15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</row>
    <row r="198" spans="1:31" ht="12" customHeight="1" x14ac:dyDescent="0.2">
      <c r="A198" s="36"/>
      <c r="B198" s="23"/>
      <c r="C198" s="24"/>
      <c r="D198" s="24"/>
      <c r="E198" s="24"/>
      <c r="F198" s="24"/>
      <c r="G198" s="24"/>
      <c r="H198" s="24"/>
      <c r="I198" s="24"/>
      <c r="J198" s="24"/>
      <c r="K198" s="15"/>
      <c r="L198" s="15"/>
      <c r="M198" s="15"/>
      <c r="N198" s="15"/>
      <c r="O198" s="15"/>
      <c r="P198" s="15"/>
      <c r="Q198" s="15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</row>
    <row r="199" spans="1:31" ht="12" customHeight="1" x14ac:dyDescent="0.2">
      <c r="A199" s="22"/>
      <c r="B199" s="23"/>
      <c r="C199" s="24"/>
      <c r="D199" s="24"/>
      <c r="E199" s="24"/>
      <c r="F199" s="24"/>
      <c r="G199" s="24"/>
      <c r="H199" s="24"/>
      <c r="I199" s="24"/>
      <c r="J199" s="24"/>
      <c r="K199" s="24"/>
      <c r="L199" s="26"/>
      <c r="M199" s="26"/>
      <c r="N199" s="26"/>
      <c r="O199" s="26"/>
      <c r="P199" s="26"/>
      <c r="Q199" s="26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</row>
    <row r="200" spans="1:31" ht="12" customHeight="1" x14ac:dyDescent="0.2">
      <c r="A200" s="22"/>
      <c r="B200" s="23"/>
      <c r="C200" s="24"/>
      <c r="D200" s="24"/>
      <c r="E200" s="24"/>
      <c r="F200" s="24"/>
      <c r="G200" s="24"/>
      <c r="H200" s="24"/>
      <c r="I200" s="24"/>
      <c r="J200" s="24"/>
      <c r="K200" s="24"/>
      <c r="L200" s="26"/>
      <c r="M200" s="26"/>
      <c r="N200" s="26"/>
      <c r="O200" s="26"/>
      <c r="P200" s="26"/>
      <c r="Q200" s="26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</row>
    <row r="201" spans="1:31" ht="12" customHeight="1" x14ac:dyDescent="0.2">
      <c r="A201" s="22"/>
      <c r="B201" s="23"/>
      <c r="C201" s="24"/>
      <c r="D201" s="24"/>
      <c r="E201" s="24"/>
      <c r="F201" s="24"/>
      <c r="G201" s="24"/>
      <c r="H201" s="24"/>
      <c r="I201" s="24"/>
      <c r="J201" s="24"/>
      <c r="K201" s="24"/>
      <c r="L201" s="26"/>
      <c r="M201" s="26"/>
      <c r="N201" s="26"/>
      <c r="O201" s="26"/>
      <c r="P201" s="26"/>
      <c r="Q201" s="26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</row>
    <row r="202" spans="1:31" ht="12" customHeight="1" x14ac:dyDescent="0.2">
      <c r="A202" s="22"/>
      <c r="B202" s="23"/>
      <c r="C202" s="24"/>
      <c r="D202" s="24"/>
      <c r="E202" s="24"/>
      <c r="F202" s="24"/>
      <c r="G202" s="24"/>
      <c r="H202" s="24"/>
      <c r="I202" s="24"/>
      <c r="J202" s="24"/>
      <c r="K202" s="24"/>
      <c r="L202" s="26"/>
      <c r="M202" s="26"/>
      <c r="N202" s="26"/>
      <c r="O202" s="26"/>
      <c r="P202" s="26"/>
      <c r="Q202" s="26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</row>
    <row r="203" spans="1:31" ht="12" customHeight="1" x14ac:dyDescent="0.2">
      <c r="A203" s="22"/>
      <c r="B203" s="23"/>
      <c r="C203" s="24"/>
      <c r="D203" s="24"/>
      <c r="E203" s="24"/>
      <c r="F203" s="24"/>
      <c r="G203" s="24"/>
      <c r="H203" s="24"/>
      <c r="I203" s="24"/>
      <c r="J203" s="24"/>
      <c r="K203" s="24"/>
      <c r="L203" s="26"/>
      <c r="M203" s="26"/>
      <c r="N203" s="26"/>
      <c r="O203" s="26"/>
      <c r="P203" s="26"/>
      <c r="Q203" s="26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</row>
    <row r="204" spans="1:31" ht="12" customHeight="1" x14ac:dyDescent="0.2">
      <c r="A204" s="22"/>
      <c r="B204" s="28"/>
      <c r="C204" s="24"/>
      <c r="D204" s="24"/>
      <c r="E204" s="24"/>
      <c r="F204" s="24"/>
      <c r="G204" s="24"/>
      <c r="H204" s="24"/>
      <c r="I204" s="24"/>
      <c r="J204" s="24"/>
      <c r="K204" s="24"/>
      <c r="L204" s="26"/>
      <c r="M204" s="26"/>
      <c r="N204" s="26"/>
      <c r="O204" s="26"/>
      <c r="P204" s="26"/>
      <c r="Q204" s="26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</row>
    <row r="205" spans="1:31" ht="12" customHeight="1" x14ac:dyDescent="0.2">
      <c r="A205" s="22"/>
      <c r="B205" s="17"/>
      <c r="C205" s="24"/>
      <c r="D205" s="24"/>
      <c r="E205" s="24"/>
      <c r="F205" s="24"/>
      <c r="G205" s="24"/>
      <c r="H205" s="24"/>
      <c r="I205" s="24"/>
      <c r="J205" s="24"/>
      <c r="K205" s="24"/>
      <c r="L205" s="26"/>
      <c r="M205" s="26"/>
      <c r="N205" s="26"/>
      <c r="O205" s="26"/>
      <c r="P205" s="26"/>
      <c r="Q205" s="26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</row>
    <row r="206" spans="1:31" ht="12" customHeight="1" x14ac:dyDescent="0.2">
      <c r="A206" s="22"/>
      <c r="B206" s="17"/>
      <c r="C206" s="24"/>
      <c r="D206" s="24"/>
      <c r="E206" s="24"/>
      <c r="F206" s="24"/>
      <c r="G206" s="24"/>
      <c r="H206" s="24"/>
      <c r="I206" s="24"/>
      <c r="J206" s="24"/>
      <c r="K206" s="24"/>
      <c r="L206" s="26"/>
      <c r="M206" s="26"/>
      <c r="N206" s="26"/>
      <c r="O206" s="26"/>
      <c r="P206" s="26"/>
      <c r="Q206" s="26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</row>
    <row r="207" spans="1:31" ht="12" customHeight="1" x14ac:dyDescent="0.2">
      <c r="A207" s="22"/>
      <c r="B207" s="17"/>
      <c r="C207" s="29"/>
      <c r="D207" s="29"/>
      <c r="E207" s="29"/>
      <c r="F207" s="29"/>
      <c r="G207" s="29"/>
      <c r="H207" s="29"/>
      <c r="I207" s="29"/>
      <c r="J207" s="29"/>
      <c r="K207" s="24"/>
      <c r="L207" s="26"/>
      <c r="M207" s="26"/>
      <c r="N207" s="26"/>
      <c r="O207" s="26"/>
      <c r="P207" s="26"/>
      <c r="Q207" s="26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</row>
    <row r="208" spans="1:31" ht="12" customHeight="1" x14ac:dyDescent="0.2">
      <c r="A208" s="22"/>
      <c r="B208" s="17"/>
      <c r="C208" s="18"/>
      <c r="D208" s="18"/>
      <c r="E208" s="18"/>
      <c r="F208" s="18"/>
      <c r="G208" s="18"/>
      <c r="H208" s="18"/>
      <c r="I208" s="18"/>
      <c r="J208" s="18"/>
      <c r="K208" s="24"/>
      <c r="L208" s="26"/>
      <c r="M208" s="26"/>
      <c r="N208" s="26"/>
      <c r="O208" s="26"/>
      <c r="P208" s="26"/>
      <c r="Q208" s="26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</row>
    <row r="209" spans="1:31" ht="12" customHeight="1" x14ac:dyDescent="0.2">
      <c r="A209" s="27" t="s">
        <v>136</v>
      </c>
      <c r="B209" s="17"/>
      <c r="C209" s="18"/>
      <c r="D209" s="18"/>
      <c r="E209" s="18"/>
      <c r="F209" s="18"/>
      <c r="G209" s="18"/>
      <c r="H209" s="18"/>
      <c r="I209" s="18"/>
      <c r="J209" s="18"/>
      <c r="K209" s="29"/>
      <c r="L209" s="30">
        <f t="shared" ref="L209:P209" si="90">SUM(L188:L208)</f>
        <v>165559</v>
      </c>
      <c r="M209" s="30">
        <f t="shared" si="90"/>
        <v>-401923</v>
      </c>
      <c r="N209" s="30">
        <f t="shared" si="90"/>
        <v>-875510</v>
      </c>
      <c r="O209" s="30">
        <f t="shared" si="90"/>
        <v>-853353</v>
      </c>
      <c r="P209" s="30">
        <f t="shared" si="90"/>
        <v>-459574</v>
      </c>
      <c r="Q209" s="30">
        <f>SUM(Q188:Q208)</f>
        <v>-684362</v>
      </c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</row>
    <row r="210" spans="1:31" ht="12" customHeight="1" x14ac:dyDescent="0.2">
      <c r="A210" s="17"/>
      <c r="B210" s="17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</row>
    <row r="211" spans="1:31" ht="12" customHeight="1" x14ac:dyDescent="0.2">
      <c r="A211" s="16"/>
      <c r="B211" s="17"/>
      <c r="C211" s="18"/>
      <c r="D211" s="18"/>
      <c r="E211" s="18"/>
      <c r="F211" s="18"/>
      <c r="G211" s="18"/>
      <c r="H211" s="18"/>
      <c r="I211" s="18"/>
      <c r="J211" s="18"/>
      <c r="K211" s="18"/>
      <c r="L211" s="20"/>
      <c r="M211" s="20"/>
      <c r="N211" s="20"/>
      <c r="O211" s="20"/>
      <c r="P211" s="20"/>
      <c r="Q211" s="20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</row>
    <row r="212" spans="1:31" ht="12" customHeight="1" x14ac:dyDescent="0.2">
      <c r="A212" s="16"/>
      <c r="B212" s="17"/>
      <c r="C212" s="18"/>
      <c r="D212" s="18"/>
      <c r="E212" s="18"/>
      <c r="F212" s="18"/>
      <c r="G212" s="18"/>
      <c r="H212" s="18"/>
      <c r="I212" s="18"/>
      <c r="J212" s="18"/>
      <c r="K212" s="18"/>
      <c r="L212" s="20"/>
      <c r="M212" s="20"/>
      <c r="N212" s="20"/>
      <c r="O212" s="20"/>
      <c r="P212" s="20"/>
      <c r="Q212" s="20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</row>
    <row r="213" spans="1:31" ht="12" customHeight="1" x14ac:dyDescent="0.2">
      <c r="A213" s="16"/>
      <c r="B213" s="21"/>
      <c r="C213" s="18"/>
      <c r="D213" s="18"/>
      <c r="E213" s="18"/>
      <c r="F213" s="18"/>
      <c r="G213" s="18"/>
      <c r="H213" s="18"/>
      <c r="I213" s="18"/>
      <c r="J213" s="18"/>
      <c r="K213" s="18"/>
      <c r="L213" s="20"/>
      <c r="M213" s="20"/>
      <c r="N213" s="20"/>
      <c r="O213" s="20"/>
      <c r="P213" s="20"/>
      <c r="Q213" s="20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</row>
    <row r="214" spans="1:31" ht="12" customHeight="1" x14ac:dyDescent="0.2">
      <c r="A214" s="16"/>
      <c r="B214" s="21"/>
      <c r="C214" s="18"/>
      <c r="D214" s="18"/>
      <c r="E214" s="18"/>
      <c r="F214" s="18"/>
      <c r="G214" s="18"/>
      <c r="H214" s="18"/>
      <c r="I214" s="18"/>
      <c r="J214" s="18"/>
      <c r="K214" s="18"/>
      <c r="L214" s="20"/>
      <c r="M214" s="20"/>
      <c r="N214" s="20"/>
      <c r="O214" s="20"/>
      <c r="P214" s="20"/>
      <c r="Q214" s="20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</row>
    <row r="215" spans="1:31" ht="12" customHeight="1" x14ac:dyDescent="0.2">
      <c r="A215" s="17"/>
      <c r="B215" s="21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</row>
    <row r="216" spans="1:31" ht="12" customHeight="1" x14ac:dyDescent="0.2">
      <c r="A216" s="16"/>
      <c r="B216" s="21"/>
      <c r="C216" s="21"/>
      <c r="D216" s="21"/>
      <c r="E216" s="21"/>
      <c r="F216" s="21"/>
      <c r="G216" s="21"/>
      <c r="H216" s="21"/>
      <c r="I216" s="21"/>
      <c r="J216" s="21"/>
      <c r="K216" s="18"/>
      <c r="L216" s="19"/>
      <c r="M216" s="20"/>
      <c r="N216" s="20"/>
      <c r="O216" s="20"/>
      <c r="P216" s="20"/>
      <c r="Q216" s="20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</row>
    <row r="217" spans="1:31" ht="12" customHeight="1" x14ac:dyDescent="0.2">
      <c r="A217" s="16"/>
      <c r="B217" s="21"/>
      <c r="C217" s="21"/>
      <c r="D217" s="21"/>
      <c r="E217" s="21"/>
      <c r="F217" s="21"/>
      <c r="G217" s="21"/>
      <c r="H217" s="21"/>
      <c r="I217" s="21"/>
      <c r="J217" s="21"/>
      <c r="K217" s="18"/>
      <c r="L217" s="20"/>
      <c r="M217" s="20"/>
      <c r="N217" s="20"/>
      <c r="O217" s="20"/>
      <c r="P217" s="20"/>
      <c r="Q217" s="20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</row>
    <row r="218" spans="1:31" ht="12" customHeight="1" x14ac:dyDescent="0.2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</row>
    <row r="219" spans="1:31" ht="12" customHeight="1" x14ac:dyDescent="0.2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</row>
    <row r="220" spans="1:31" ht="12" customHeight="1" x14ac:dyDescent="0.2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</row>
    <row r="221" spans="1:31" ht="12" customHeight="1" x14ac:dyDescent="0.2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</row>
    <row r="222" spans="1:31" ht="12" customHeight="1" x14ac:dyDescent="0.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</row>
    <row r="223" spans="1:31" ht="12" customHeight="1" x14ac:dyDescent="0.2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</row>
    <row r="224" spans="1:31" ht="12" customHeight="1" x14ac:dyDescent="0.2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</row>
    <row r="225" spans="1:31" ht="12" customHeight="1" x14ac:dyDescent="0.2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</row>
    <row r="226" spans="1:31" ht="12" customHeight="1" x14ac:dyDescent="0.2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</row>
    <row r="227" spans="1:31" ht="12" customHeight="1" x14ac:dyDescent="0.2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</row>
    <row r="228" spans="1:31" ht="12" customHeight="1" x14ac:dyDescent="0.2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</row>
    <row r="229" spans="1:31" ht="12" customHeight="1" x14ac:dyDescent="0.2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</row>
    <row r="230" spans="1:31" ht="12" customHeight="1" x14ac:dyDescent="0.2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</row>
    <row r="231" spans="1:31" ht="12" customHeight="1" x14ac:dyDescent="0.2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</row>
    <row r="232" spans="1:31" ht="12" customHeight="1" x14ac:dyDescent="0.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</row>
    <row r="233" spans="1:31" ht="12" customHeight="1" x14ac:dyDescent="0.2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</row>
    <row r="234" spans="1:31" ht="12" customHeight="1" x14ac:dyDescent="0.2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</row>
    <row r="235" spans="1:31" ht="12" customHeight="1" x14ac:dyDescent="0.2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</row>
    <row r="236" spans="1:31" ht="12" customHeight="1" x14ac:dyDescent="0.2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</row>
    <row r="237" spans="1:31" ht="12" customHeight="1" x14ac:dyDescent="0.2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</row>
    <row r="238" spans="1:31" ht="12" customHeight="1" x14ac:dyDescent="0.2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</row>
    <row r="239" spans="1:31" ht="12" customHeight="1" x14ac:dyDescent="0.2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</row>
    <row r="240" spans="1:31" ht="12" customHeight="1" x14ac:dyDescent="0.2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</row>
    <row r="241" spans="1:31" ht="12" customHeight="1" x14ac:dyDescent="0.2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</row>
    <row r="242" spans="1:31" ht="12" customHeight="1" x14ac:dyDescent="0.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</row>
    <row r="243" spans="1:31" ht="12" customHeight="1" x14ac:dyDescent="0.2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</row>
    <row r="244" spans="1:31" ht="12" customHeight="1" x14ac:dyDescent="0.2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</row>
    <row r="245" spans="1:31" ht="12" customHeight="1" x14ac:dyDescent="0.2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</row>
    <row r="246" spans="1:31" ht="12" customHeight="1" x14ac:dyDescent="0.2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</row>
    <row r="247" spans="1:31" ht="12" customHeight="1" x14ac:dyDescent="0.2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</row>
    <row r="248" spans="1:31" ht="12" customHeight="1" x14ac:dyDescent="0.2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</row>
    <row r="249" spans="1:31" ht="12" customHeight="1" x14ac:dyDescent="0.2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</row>
    <row r="250" spans="1:31" ht="12" customHeight="1" x14ac:dyDescent="0.2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</row>
    <row r="251" spans="1:31" ht="12" customHeight="1" x14ac:dyDescent="0.2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</row>
    <row r="252" spans="1:31" ht="12" customHeight="1" x14ac:dyDescent="0.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</row>
    <row r="253" spans="1:31" ht="12" customHeight="1" x14ac:dyDescent="0.2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</row>
    <row r="254" spans="1:31" ht="12" customHeight="1" x14ac:dyDescent="0.2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</row>
    <row r="255" spans="1:31" ht="12" customHeight="1" x14ac:dyDescent="0.2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</row>
    <row r="256" spans="1:31" ht="12" customHeight="1" x14ac:dyDescent="0.2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</row>
    <row r="257" spans="1:31" ht="12" customHeight="1" x14ac:dyDescent="0.2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</row>
    <row r="258" spans="1:31" ht="12" customHeight="1" x14ac:dyDescent="0.2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</row>
    <row r="259" spans="1:31" ht="12" customHeight="1" x14ac:dyDescent="0.2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</row>
    <row r="260" spans="1:31" ht="12" customHeight="1" x14ac:dyDescent="0.2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</row>
    <row r="261" spans="1:31" ht="12" customHeight="1" x14ac:dyDescent="0.2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</row>
    <row r="262" spans="1:31" ht="12" customHeight="1" x14ac:dyDescent="0.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</row>
    <row r="263" spans="1:31" ht="12" customHeight="1" x14ac:dyDescent="0.2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</row>
    <row r="264" spans="1:31" ht="12" customHeight="1" x14ac:dyDescent="0.2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</row>
    <row r="265" spans="1:31" ht="12" customHeight="1" x14ac:dyDescent="0.2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</row>
    <row r="266" spans="1:31" ht="12" customHeight="1" x14ac:dyDescent="0.2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</row>
    <row r="267" spans="1:31" ht="12" customHeight="1" x14ac:dyDescent="0.2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</row>
    <row r="268" spans="1:31" ht="12" customHeight="1" x14ac:dyDescent="0.2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</row>
    <row r="269" spans="1:31" ht="12" customHeight="1" x14ac:dyDescent="0.2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</row>
    <row r="270" spans="1:31" ht="12" customHeight="1" x14ac:dyDescent="0.2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</row>
    <row r="271" spans="1:31" ht="12" customHeight="1" x14ac:dyDescent="0.2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</row>
    <row r="272" spans="1:31" ht="12" customHeight="1" x14ac:dyDescent="0.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</row>
    <row r="273" spans="1:31" ht="12" customHeight="1" x14ac:dyDescent="0.2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</row>
    <row r="274" spans="1:31" ht="12" customHeight="1" x14ac:dyDescent="0.2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</row>
    <row r="275" spans="1:31" ht="12" customHeight="1" x14ac:dyDescent="0.2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</row>
    <row r="276" spans="1:31" ht="12" customHeight="1" x14ac:dyDescent="0.2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</row>
    <row r="277" spans="1:31" ht="12" customHeight="1" x14ac:dyDescent="0.2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</row>
    <row r="278" spans="1:31" ht="12" customHeight="1" x14ac:dyDescent="0.2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</row>
    <row r="279" spans="1:31" ht="12" customHeight="1" x14ac:dyDescent="0.2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</row>
    <row r="280" spans="1:31" ht="12" customHeight="1" x14ac:dyDescent="0.2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</row>
    <row r="281" spans="1:31" ht="12" customHeight="1" x14ac:dyDescent="0.2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</row>
    <row r="282" spans="1:31" ht="12" customHeight="1" x14ac:dyDescent="0.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</row>
    <row r="283" spans="1:31" ht="12" customHeight="1" x14ac:dyDescent="0.2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</row>
    <row r="284" spans="1:31" ht="12" customHeight="1" x14ac:dyDescent="0.2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</row>
    <row r="285" spans="1:31" ht="12" customHeight="1" x14ac:dyDescent="0.2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</row>
    <row r="286" spans="1:31" ht="12" customHeight="1" x14ac:dyDescent="0.2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</row>
    <row r="287" spans="1:31" ht="12" customHeight="1" x14ac:dyDescent="0.2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</row>
    <row r="288" spans="1:31" ht="12" customHeight="1" x14ac:dyDescent="0.2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</row>
    <row r="289" spans="1:31" ht="12" customHeight="1" x14ac:dyDescent="0.2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</row>
    <row r="290" spans="1:31" ht="12" customHeight="1" x14ac:dyDescent="0.2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</row>
    <row r="291" spans="1:31" ht="12" customHeight="1" x14ac:dyDescent="0.2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</row>
    <row r="292" spans="1:31" ht="12" customHeight="1" x14ac:dyDescent="0.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</row>
    <row r="293" spans="1:31" ht="12" customHeight="1" x14ac:dyDescent="0.2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</row>
    <row r="294" spans="1:31" ht="12" customHeight="1" x14ac:dyDescent="0.2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</row>
    <row r="295" spans="1:31" ht="12" customHeight="1" x14ac:dyDescent="0.2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</row>
    <row r="296" spans="1:31" ht="12" customHeight="1" x14ac:dyDescent="0.2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</row>
    <row r="297" spans="1:31" ht="12" customHeight="1" x14ac:dyDescent="0.2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</row>
    <row r="298" spans="1:31" ht="12" customHeight="1" x14ac:dyDescent="0.2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</row>
    <row r="299" spans="1:31" ht="12" customHeight="1" x14ac:dyDescent="0.2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</row>
    <row r="300" spans="1:31" ht="12" customHeight="1" x14ac:dyDescent="0.2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</row>
    <row r="301" spans="1:31" ht="12" customHeight="1" x14ac:dyDescent="0.2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</row>
    <row r="302" spans="1:31" ht="12" customHeight="1" x14ac:dyDescent="0.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</row>
    <row r="303" spans="1:31" ht="12" customHeight="1" x14ac:dyDescent="0.2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</row>
    <row r="304" spans="1:31" ht="12" customHeight="1" x14ac:dyDescent="0.2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</row>
    <row r="305" spans="1:31" ht="12" customHeight="1" x14ac:dyDescent="0.2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</row>
    <row r="306" spans="1:31" ht="12" customHeight="1" x14ac:dyDescent="0.2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</row>
    <row r="307" spans="1:31" ht="12" customHeight="1" x14ac:dyDescent="0.2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</row>
    <row r="308" spans="1:31" ht="12" customHeight="1" x14ac:dyDescent="0.2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</row>
    <row r="309" spans="1:31" ht="12" customHeight="1" x14ac:dyDescent="0.2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</row>
    <row r="310" spans="1:31" ht="12" customHeight="1" x14ac:dyDescent="0.2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</row>
    <row r="311" spans="1:31" ht="12" customHeight="1" x14ac:dyDescent="0.2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</row>
    <row r="312" spans="1:31" ht="12" customHeight="1" x14ac:dyDescent="0.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</row>
    <row r="313" spans="1:31" ht="12" customHeight="1" x14ac:dyDescent="0.2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</row>
    <row r="314" spans="1:31" ht="12" customHeight="1" x14ac:dyDescent="0.2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</row>
    <row r="315" spans="1:31" ht="12" customHeight="1" x14ac:dyDescent="0.2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</row>
    <row r="316" spans="1:31" ht="12" customHeight="1" x14ac:dyDescent="0.2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</row>
    <row r="317" spans="1:31" ht="12" customHeight="1" x14ac:dyDescent="0.2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</row>
    <row r="318" spans="1:31" ht="12" customHeight="1" x14ac:dyDescent="0.2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</row>
    <row r="319" spans="1:31" ht="12" customHeight="1" x14ac:dyDescent="0.2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</row>
    <row r="320" spans="1:31" ht="12" customHeight="1" x14ac:dyDescent="0.2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</row>
    <row r="321" spans="1:31" ht="12" customHeight="1" x14ac:dyDescent="0.2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</row>
    <row r="322" spans="1:31" ht="12" customHeight="1" x14ac:dyDescent="0.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</row>
    <row r="323" spans="1:31" ht="12" customHeight="1" x14ac:dyDescent="0.2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</row>
    <row r="324" spans="1:31" ht="12" customHeight="1" x14ac:dyDescent="0.2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</row>
    <row r="325" spans="1:31" ht="12" customHeight="1" x14ac:dyDescent="0.2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</row>
    <row r="326" spans="1:31" ht="12" customHeight="1" x14ac:dyDescent="0.2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</row>
    <row r="327" spans="1:31" ht="12" customHeight="1" x14ac:dyDescent="0.2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</row>
    <row r="328" spans="1:31" ht="12" customHeight="1" x14ac:dyDescent="0.2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</row>
    <row r="329" spans="1:31" ht="12" customHeight="1" x14ac:dyDescent="0.2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</row>
    <row r="330" spans="1:31" ht="12" customHeight="1" x14ac:dyDescent="0.2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</row>
    <row r="331" spans="1:31" ht="12" customHeight="1" x14ac:dyDescent="0.2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</row>
    <row r="332" spans="1:31" ht="12" customHeight="1" x14ac:dyDescent="0.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</row>
    <row r="333" spans="1:31" ht="12" customHeight="1" x14ac:dyDescent="0.2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</row>
    <row r="334" spans="1:31" ht="12" customHeight="1" x14ac:dyDescent="0.2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</row>
    <row r="335" spans="1:31" ht="12" customHeight="1" x14ac:dyDescent="0.2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</row>
    <row r="336" spans="1:31" ht="12" customHeight="1" x14ac:dyDescent="0.2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</row>
    <row r="337" spans="1:31" ht="12" customHeight="1" x14ac:dyDescent="0.2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</row>
    <row r="338" spans="1:31" ht="12" customHeight="1" x14ac:dyDescent="0.2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</row>
    <row r="339" spans="1:31" ht="12" customHeight="1" x14ac:dyDescent="0.2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</row>
    <row r="340" spans="1:31" ht="12" customHeight="1" x14ac:dyDescent="0.2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</row>
    <row r="341" spans="1:31" ht="12" customHeight="1" x14ac:dyDescent="0.2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</row>
    <row r="342" spans="1:31" ht="12" customHeight="1" x14ac:dyDescent="0.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</row>
    <row r="343" spans="1:31" ht="12" customHeight="1" x14ac:dyDescent="0.2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</row>
    <row r="344" spans="1:31" ht="12" customHeight="1" x14ac:dyDescent="0.2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</row>
    <row r="345" spans="1:31" ht="12" customHeight="1" x14ac:dyDescent="0.2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</row>
    <row r="346" spans="1:31" ht="12" customHeight="1" x14ac:dyDescent="0.2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</row>
    <row r="347" spans="1:31" ht="12" customHeight="1" x14ac:dyDescent="0.2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</row>
    <row r="348" spans="1:31" ht="12" customHeight="1" x14ac:dyDescent="0.2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</row>
    <row r="349" spans="1:31" ht="12" customHeight="1" x14ac:dyDescent="0.2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</row>
    <row r="350" spans="1:31" ht="12" customHeight="1" x14ac:dyDescent="0.2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</row>
    <row r="351" spans="1:31" ht="12" customHeight="1" x14ac:dyDescent="0.2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</row>
    <row r="352" spans="1:31" ht="12" customHeight="1" x14ac:dyDescent="0.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</row>
    <row r="353" spans="1:31" ht="12" customHeight="1" x14ac:dyDescent="0.2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</row>
    <row r="354" spans="1:31" ht="12" customHeight="1" x14ac:dyDescent="0.2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</row>
    <row r="355" spans="1:31" ht="12" customHeight="1" x14ac:dyDescent="0.2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</row>
    <row r="356" spans="1:31" ht="12" customHeight="1" x14ac:dyDescent="0.2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</row>
    <row r="357" spans="1:31" ht="12" customHeight="1" x14ac:dyDescent="0.2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</row>
    <row r="358" spans="1:31" ht="12" customHeight="1" x14ac:dyDescent="0.2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</row>
    <row r="359" spans="1:31" ht="12" customHeight="1" x14ac:dyDescent="0.2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</row>
    <row r="360" spans="1:31" ht="12" customHeight="1" x14ac:dyDescent="0.2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</row>
    <row r="361" spans="1:31" ht="12" customHeight="1" x14ac:dyDescent="0.2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</row>
    <row r="362" spans="1:31" ht="12" customHeight="1" x14ac:dyDescent="0.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</row>
    <row r="363" spans="1:31" ht="12" customHeight="1" x14ac:dyDescent="0.2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</row>
    <row r="364" spans="1:31" ht="12" customHeight="1" x14ac:dyDescent="0.2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</row>
    <row r="365" spans="1:31" ht="12" customHeight="1" x14ac:dyDescent="0.2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</row>
    <row r="366" spans="1:31" ht="12" customHeight="1" x14ac:dyDescent="0.2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</row>
    <row r="367" spans="1:31" ht="12" customHeight="1" x14ac:dyDescent="0.2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</row>
    <row r="368" spans="1:31" ht="12" customHeight="1" x14ac:dyDescent="0.2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</row>
    <row r="369" spans="1:31" ht="12" customHeight="1" x14ac:dyDescent="0.2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</row>
    <row r="370" spans="1:31" ht="12" customHeight="1" x14ac:dyDescent="0.2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</row>
    <row r="371" spans="1:31" ht="12" customHeight="1" x14ac:dyDescent="0.2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</row>
    <row r="372" spans="1:31" ht="12" customHeight="1" x14ac:dyDescent="0.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</row>
    <row r="373" spans="1:31" ht="12" customHeight="1" x14ac:dyDescent="0.2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</row>
    <row r="374" spans="1:31" ht="12" customHeight="1" x14ac:dyDescent="0.2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</row>
    <row r="375" spans="1:31" ht="12" customHeight="1" x14ac:dyDescent="0.2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</row>
    <row r="376" spans="1:31" ht="12" customHeight="1" x14ac:dyDescent="0.2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</row>
    <row r="377" spans="1:31" ht="12" customHeight="1" x14ac:dyDescent="0.2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</row>
    <row r="378" spans="1:31" ht="12" customHeight="1" x14ac:dyDescent="0.2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</row>
    <row r="379" spans="1:31" ht="12" customHeight="1" x14ac:dyDescent="0.2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</row>
    <row r="380" spans="1:31" ht="12" customHeight="1" x14ac:dyDescent="0.2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</row>
    <row r="381" spans="1:31" ht="12" customHeight="1" x14ac:dyDescent="0.2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</row>
    <row r="382" spans="1:31" ht="12" customHeight="1" x14ac:dyDescent="0.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</row>
    <row r="383" spans="1:31" ht="12" customHeight="1" x14ac:dyDescent="0.2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</row>
    <row r="384" spans="1:31" ht="12" customHeight="1" x14ac:dyDescent="0.2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</row>
    <row r="385" spans="1:31" ht="12" customHeight="1" x14ac:dyDescent="0.2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</row>
    <row r="386" spans="1:31" ht="12" customHeight="1" x14ac:dyDescent="0.2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</row>
    <row r="387" spans="1:31" ht="12" customHeight="1" x14ac:dyDescent="0.2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</row>
    <row r="388" spans="1:31" ht="12" customHeight="1" x14ac:dyDescent="0.2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</row>
    <row r="389" spans="1:31" ht="12" customHeight="1" x14ac:dyDescent="0.2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</row>
    <row r="390" spans="1:31" ht="12" customHeight="1" x14ac:dyDescent="0.2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</row>
    <row r="391" spans="1:31" ht="12" customHeight="1" x14ac:dyDescent="0.2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</row>
    <row r="392" spans="1:31" ht="12" customHeight="1" x14ac:dyDescent="0.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</row>
    <row r="393" spans="1:31" ht="12" customHeight="1" x14ac:dyDescent="0.2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</row>
    <row r="394" spans="1:31" ht="12" customHeight="1" x14ac:dyDescent="0.2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</row>
    <row r="395" spans="1:31" ht="12" customHeight="1" x14ac:dyDescent="0.2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</row>
    <row r="396" spans="1:31" ht="12" customHeight="1" x14ac:dyDescent="0.2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</row>
    <row r="397" spans="1:31" ht="12" customHeight="1" x14ac:dyDescent="0.2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</row>
    <row r="398" spans="1:31" ht="12" customHeight="1" x14ac:dyDescent="0.2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</row>
    <row r="399" spans="1:31" ht="12" customHeight="1" x14ac:dyDescent="0.2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</row>
    <row r="400" spans="1:31" ht="12" customHeight="1" x14ac:dyDescent="0.2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</row>
    <row r="401" spans="1:31" ht="12" customHeight="1" x14ac:dyDescent="0.2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</row>
    <row r="402" spans="1:31" ht="12" customHeight="1" x14ac:dyDescent="0.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</row>
    <row r="403" spans="1:31" ht="12" customHeight="1" x14ac:dyDescent="0.2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</row>
    <row r="404" spans="1:31" ht="12" customHeight="1" x14ac:dyDescent="0.2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</row>
    <row r="405" spans="1:31" ht="12" customHeight="1" x14ac:dyDescent="0.2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</row>
    <row r="406" spans="1:31" ht="12" customHeight="1" x14ac:dyDescent="0.2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</row>
    <row r="407" spans="1:31" ht="12" customHeight="1" x14ac:dyDescent="0.2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</row>
    <row r="408" spans="1:31" ht="12" customHeight="1" x14ac:dyDescent="0.2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</row>
    <row r="409" spans="1:31" ht="12" customHeight="1" x14ac:dyDescent="0.2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</row>
    <row r="410" spans="1:31" ht="12" customHeight="1" x14ac:dyDescent="0.2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</row>
    <row r="411" spans="1:31" ht="12" customHeight="1" x14ac:dyDescent="0.2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</row>
    <row r="412" spans="1:31" ht="12" customHeight="1" x14ac:dyDescent="0.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</row>
    <row r="413" spans="1:31" ht="12" customHeight="1" x14ac:dyDescent="0.2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</row>
    <row r="414" spans="1:31" ht="12" customHeight="1" x14ac:dyDescent="0.2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</row>
    <row r="415" spans="1:31" ht="12" customHeight="1" x14ac:dyDescent="0.2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</row>
    <row r="416" spans="1:31" ht="12" customHeight="1" x14ac:dyDescent="0.2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</row>
    <row r="417" spans="1:31" ht="12" customHeight="1" x14ac:dyDescent="0.2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</row>
    <row r="418" spans="1:31" ht="12" customHeight="1" x14ac:dyDescent="0.2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</row>
    <row r="419" spans="1:31" ht="12" customHeight="1" x14ac:dyDescent="0.2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</row>
    <row r="420" spans="1:31" ht="12" customHeight="1" x14ac:dyDescent="0.2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</row>
    <row r="421" spans="1:31" ht="12" customHeight="1" x14ac:dyDescent="0.2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</row>
    <row r="422" spans="1:31" ht="12" customHeight="1" x14ac:dyDescent="0.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</row>
    <row r="423" spans="1:31" ht="12" customHeight="1" x14ac:dyDescent="0.2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</row>
    <row r="424" spans="1:31" ht="12" customHeight="1" x14ac:dyDescent="0.2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</row>
    <row r="425" spans="1:31" ht="12" customHeight="1" x14ac:dyDescent="0.2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</row>
    <row r="426" spans="1:31" ht="12" customHeight="1" x14ac:dyDescent="0.2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</row>
    <row r="427" spans="1:31" ht="12" customHeight="1" x14ac:dyDescent="0.2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</row>
    <row r="428" spans="1:31" ht="12" customHeight="1" x14ac:dyDescent="0.2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</row>
    <row r="429" spans="1:31" ht="12" customHeight="1" x14ac:dyDescent="0.2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</row>
    <row r="430" spans="1:31" ht="12" customHeight="1" x14ac:dyDescent="0.2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</row>
    <row r="431" spans="1:31" ht="12" customHeight="1" x14ac:dyDescent="0.2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</row>
    <row r="432" spans="1:31" ht="12" customHeight="1" x14ac:dyDescent="0.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</row>
    <row r="433" spans="1:31" ht="12" customHeight="1" x14ac:dyDescent="0.2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</row>
    <row r="434" spans="1:31" ht="12" customHeight="1" x14ac:dyDescent="0.2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</row>
    <row r="435" spans="1:31" ht="12" customHeight="1" x14ac:dyDescent="0.2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</row>
    <row r="436" spans="1:31" ht="12" customHeight="1" x14ac:dyDescent="0.2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</row>
    <row r="437" spans="1:31" ht="12" customHeight="1" x14ac:dyDescent="0.2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</row>
    <row r="438" spans="1:31" ht="12" customHeight="1" x14ac:dyDescent="0.2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</row>
    <row r="439" spans="1:31" ht="12" customHeight="1" x14ac:dyDescent="0.2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</row>
    <row r="440" spans="1:31" ht="12" customHeight="1" x14ac:dyDescent="0.2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</row>
    <row r="441" spans="1:31" ht="12" customHeight="1" x14ac:dyDescent="0.2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</row>
    <row r="442" spans="1:31" ht="12" customHeight="1" x14ac:dyDescent="0.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</row>
    <row r="443" spans="1:31" ht="12" customHeight="1" x14ac:dyDescent="0.2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</row>
    <row r="444" spans="1:31" ht="12" customHeight="1" x14ac:dyDescent="0.2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</row>
    <row r="445" spans="1:31" ht="12" customHeight="1" x14ac:dyDescent="0.2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</row>
    <row r="446" spans="1:31" ht="12" customHeight="1" x14ac:dyDescent="0.2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</row>
    <row r="447" spans="1:31" ht="12" customHeight="1" x14ac:dyDescent="0.2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</row>
    <row r="448" spans="1:31" ht="12" customHeight="1" x14ac:dyDescent="0.2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</row>
    <row r="449" spans="1:31" ht="12" customHeight="1" x14ac:dyDescent="0.2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</row>
    <row r="450" spans="1:31" ht="12" customHeight="1" x14ac:dyDescent="0.2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</row>
    <row r="451" spans="1:31" ht="12" customHeight="1" x14ac:dyDescent="0.2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</row>
    <row r="452" spans="1:31" ht="12" customHeight="1" x14ac:dyDescent="0.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</row>
    <row r="453" spans="1:31" ht="12" customHeight="1" x14ac:dyDescent="0.2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</row>
    <row r="454" spans="1:31" ht="12" customHeight="1" x14ac:dyDescent="0.2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</row>
    <row r="455" spans="1:31" ht="12" customHeight="1" x14ac:dyDescent="0.2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</row>
    <row r="456" spans="1:31" ht="12" customHeight="1" x14ac:dyDescent="0.2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</row>
    <row r="457" spans="1:31" ht="12" customHeight="1" x14ac:dyDescent="0.2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</row>
    <row r="458" spans="1:31" ht="12" customHeight="1" x14ac:dyDescent="0.2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</row>
    <row r="459" spans="1:31" ht="12" customHeight="1" x14ac:dyDescent="0.2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</row>
    <row r="460" spans="1:31" ht="12" customHeight="1" x14ac:dyDescent="0.2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</row>
    <row r="461" spans="1:31" ht="12" customHeight="1" x14ac:dyDescent="0.2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</row>
    <row r="462" spans="1:31" ht="12" customHeight="1" x14ac:dyDescent="0.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</row>
    <row r="463" spans="1:31" ht="12" customHeight="1" x14ac:dyDescent="0.2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</row>
    <row r="464" spans="1:31" ht="12" customHeight="1" x14ac:dyDescent="0.2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</row>
    <row r="465" spans="1:31" ht="12" customHeight="1" x14ac:dyDescent="0.2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</row>
    <row r="466" spans="1:31" ht="12" customHeight="1" x14ac:dyDescent="0.2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</row>
    <row r="467" spans="1:31" ht="12" customHeight="1" x14ac:dyDescent="0.2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</row>
    <row r="468" spans="1:31" ht="12" customHeight="1" x14ac:dyDescent="0.2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</row>
    <row r="469" spans="1:31" ht="12" customHeight="1" x14ac:dyDescent="0.2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</row>
    <row r="470" spans="1:31" ht="12" customHeight="1" x14ac:dyDescent="0.2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</row>
    <row r="471" spans="1:31" ht="12" customHeight="1" x14ac:dyDescent="0.2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</row>
    <row r="472" spans="1:31" ht="12" customHeight="1" x14ac:dyDescent="0.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</row>
    <row r="473" spans="1:31" ht="12" customHeight="1" x14ac:dyDescent="0.2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</row>
    <row r="474" spans="1:31" ht="12" customHeight="1" x14ac:dyDescent="0.2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</row>
    <row r="475" spans="1:31" ht="12" customHeight="1" x14ac:dyDescent="0.2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</row>
    <row r="476" spans="1:31" ht="12" customHeight="1" x14ac:dyDescent="0.2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</row>
    <row r="477" spans="1:31" ht="12" customHeight="1" x14ac:dyDescent="0.2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</row>
    <row r="478" spans="1:31" ht="12" customHeight="1" x14ac:dyDescent="0.2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</row>
    <row r="479" spans="1:31" ht="12" customHeight="1" x14ac:dyDescent="0.2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</row>
    <row r="480" spans="1:31" ht="12" customHeight="1" x14ac:dyDescent="0.2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</row>
    <row r="481" spans="1:31" ht="12" customHeight="1" x14ac:dyDescent="0.2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</row>
    <row r="482" spans="1:31" ht="12" customHeight="1" x14ac:dyDescent="0.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</row>
    <row r="483" spans="1:31" ht="12" customHeight="1" x14ac:dyDescent="0.2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</row>
    <row r="484" spans="1:31" ht="12" customHeight="1" x14ac:dyDescent="0.2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</row>
    <row r="485" spans="1:31" ht="12" customHeight="1" x14ac:dyDescent="0.2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</row>
    <row r="486" spans="1:31" ht="12" customHeight="1" x14ac:dyDescent="0.2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</row>
    <row r="487" spans="1:31" ht="12" customHeight="1" x14ac:dyDescent="0.2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</row>
    <row r="488" spans="1:31" ht="12" customHeight="1" x14ac:dyDescent="0.2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</row>
    <row r="489" spans="1:31" ht="12" customHeight="1" x14ac:dyDescent="0.2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</row>
    <row r="490" spans="1:31" ht="12" customHeight="1" x14ac:dyDescent="0.2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</row>
    <row r="491" spans="1:31" ht="12" customHeight="1" x14ac:dyDescent="0.2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</row>
    <row r="492" spans="1:31" ht="12" customHeight="1" x14ac:dyDescent="0.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</row>
    <row r="493" spans="1:31" ht="12" customHeight="1" x14ac:dyDescent="0.2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</row>
    <row r="494" spans="1:31" ht="12" customHeight="1" x14ac:dyDescent="0.2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</row>
    <row r="495" spans="1:31" ht="12" customHeight="1" x14ac:dyDescent="0.2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</row>
    <row r="496" spans="1:31" ht="12" customHeight="1" x14ac:dyDescent="0.2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</row>
    <row r="497" spans="1:31" ht="12" customHeight="1" x14ac:dyDescent="0.2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</row>
    <row r="498" spans="1:31" ht="12" customHeight="1" x14ac:dyDescent="0.2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</row>
    <row r="499" spans="1:31" ht="12" customHeight="1" x14ac:dyDescent="0.2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</row>
    <row r="500" spans="1:31" ht="12" customHeight="1" x14ac:dyDescent="0.2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</row>
    <row r="501" spans="1:31" ht="12" customHeight="1" x14ac:dyDescent="0.2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</row>
    <row r="502" spans="1:31" ht="12" customHeight="1" x14ac:dyDescent="0.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</row>
    <row r="503" spans="1:31" ht="12" customHeight="1" x14ac:dyDescent="0.2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</row>
    <row r="504" spans="1:31" ht="12" customHeight="1" x14ac:dyDescent="0.2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</row>
    <row r="505" spans="1:31" ht="12" customHeight="1" x14ac:dyDescent="0.2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</row>
    <row r="506" spans="1:31" ht="12" customHeight="1" x14ac:dyDescent="0.2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</row>
    <row r="507" spans="1:31" ht="12" customHeight="1" x14ac:dyDescent="0.2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</row>
    <row r="508" spans="1:31" ht="12" customHeight="1" x14ac:dyDescent="0.2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</row>
    <row r="509" spans="1:31" ht="12" customHeight="1" x14ac:dyDescent="0.2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</row>
    <row r="510" spans="1:31" ht="12" customHeight="1" x14ac:dyDescent="0.2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</row>
    <row r="511" spans="1:31" ht="12" customHeight="1" x14ac:dyDescent="0.2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</row>
    <row r="512" spans="1:31" ht="12" customHeight="1" x14ac:dyDescent="0.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</row>
    <row r="513" spans="1:31" ht="12" customHeight="1" x14ac:dyDescent="0.2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</row>
    <row r="514" spans="1:31" ht="12" customHeight="1" x14ac:dyDescent="0.2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</row>
    <row r="515" spans="1:31" ht="12" customHeight="1" x14ac:dyDescent="0.2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</row>
    <row r="516" spans="1:31" ht="12" customHeight="1" x14ac:dyDescent="0.2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</row>
    <row r="517" spans="1:31" ht="12" customHeight="1" x14ac:dyDescent="0.2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</row>
    <row r="518" spans="1:31" ht="12" customHeight="1" x14ac:dyDescent="0.2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</row>
    <row r="519" spans="1:31" ht="12" customHeight="1" x14ac:dyDescent="0.2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</row>
    <row r="520" spans="1:31" ht="12" customHeight="1" x14ac:dyDescent="0.2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</row>
    <row r="521" spans="1:31" ht="12" customHeight="1" x14ac:dyDescent="0.2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</row>
    <row r="522" spans="1:31" ht="12" customHeight="1" x14ac:dyDescent="0.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</row>
    <row r="523" spans="1:31" ht="12" customHeight="1" x14ac:dyDescent="0.2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</row>
    <row r="524" spans="1:31" ht="12" customHeight="1" x14ac:dyDescent="0.2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</row>
    <row r="525" spans="1:31" ht="12" customHeight="1" x14ac:dyDescent="0.2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</row>
    <row r="526" spans="1:31" ht="12" customHeight="1" x14ac:dyDescent="0.2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</row>
    <row r="527" spans="1:31" ht="12" customHeight="1" x14ac:dyDescent="0.2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</row>
    <row r="528" spans="1:31" ht="12" customHeight="1" x14ac:dyDescent="0.2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</row>
    <row r="529" spans="1:31" ht="12" customHeight="1" x14ac:dyDescent="0.2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</row>
    <row r="530" spans="1:31" ht="12" customHeight="1" x14ac:dyDescent="0.2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</row>
    <row r="531" spans="1:31" ht="12" customHeight="1" x14ac:dyDescent="0.2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</row>
    <row r="532" spans="1:31" ht="12" customHeight="1" x14ac:dyDescent="0.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</row>
    <row r="533" spans="1:31" ht="12" customHeight="1" x14ac:dyDescent="0.2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</row>
    <row r="534" spans="1:31" ht="12" customHeight="1" x14ac:dyDescent="0.2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</row>
    <row r="535" spans="1:31" ht="12" customHeight="1" x14ac:dyDescent="0.2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</row>
    <row r="536" spans="1:31" ht="12" customHeight="1" x14ac:dyDescent="0.2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</row>
    <row r="537" spans="1:31" ht="12" customHeight="1" x14ac:dyDescent="0.2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</row>
    <row r="538" spans="1:31" ht="12" customHeight="1" x14ac:dyDescent="0.2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</row>
    <row r="539" spans="1:31" ht="12" customHeight="1" x14ac:dyDescent="0.2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</row>
    <row r="540" spans="1:31" ht="12" customHeight="1" x14ac:dyDescent="0.2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</row>
    <row r="541" spans="1:31" ht="12" customHeight="1" x14ac:dyDescent="0.2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</row>
    <row r="542" spans="1:31" ht="12" customHeight="1" x14ac:dyDescent="0.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</row>
    <row r="543" spans="1:31" ht="12" customHeight="1" x14ac:dyDescent="0.2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</row>
    <row r="544" spans="1:31" ht="12" customHeight="1" x14ac:dyDescent="0.2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</row>
    <row r="545" spans="1:31" ht="12" customHeight="1" x14ac:dyDescent="0.2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</row>
    <row r="546" spans="1:31" ht="12" customHeight="1" x14ac:dyDescent="0.2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</row>
    <row r="547" spans="1:31" ht="12" customHeight="1" x14ac:dyDescent="0.2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</row>
    <row r="548" spans="1:31" ht="12" customHeight="1" x14ac:dyDescent="0.2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</row>
    <row r="549" spans="1:31" ht="12" customHeight="1" x14ac:dyDescent="0.2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</row>
    <row r="550" spans="1:31" ht="12" customHeight="1" x14ac:dyDescent="0.2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</row>
    <row r="551" spans="1:31" ht="12" customHeight="1" x14ac:dyDescent="0.2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</row>
    <row r="552" spans="1:31" ht="12" customHeight="1" x14ac:dyDescent="0.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</row>
    <row r="553" spans="1:31" ht="12" customHeight="1" x14ac:dyDescent="0.2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</row>
    <row r="554" spans="1:31" ht="12" customHeight="1" x14ac:dyDescent="0.2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</row>
    <row r="555" spans="1:31" ht="12" customHeight="1" x14ac:dyDescent="0.2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</row>
    <row r="556" spans="1:31" ht="12" customHeight="1" x14ac:dyDescent="0.2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</row>
    <row r="557" spans="1:31" ht="12" customHeight="1" x14ac:dyDescent="0.2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</row>
    <row r="558" spans="1:31" ht="12" customHeight="1" x14ac:dyDescent="0.2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</row>
    <row r="559" spans="1:31" ht="12" customHeight="1" x14ac:dyDescent="0.2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</row>
    <row r="560" spans="1:31" ht="12" customHeight="1" x14ac:dyDescent="0.2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</row>
    <row r="561" spans="1:31" ht="12" customHeight="1" x14ac:dyDescent="0.2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</row>
    <row r="562" spans="1:31" ht="12" customHeight="1" x14ac:dyDescent="0.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</row>
    <row r="563" spans="1:31" ht="12" customHeight="1" x14ac:dyDescent="0.2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</row>
    <row r="564" spans="1:31" ht="12" customHeight="1" x14ac:dyDescent="0.2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</row>
    <row r="565" spans="1:31" ht="12" customHeight="1" x14ac:dyDescent="0.2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</row>
    <row r="566" spans="1:31" ht="12" customHeight="1" x14ac:dyDescent="0.2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</row>
    <row r="567" spans="1:31" ht="12" customHeight="1" x14ac:dyDescent="0.2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</row>
    <row r="568" spans="1:31" ht="12" customHeight="1" x14ac:dyDescent="0.2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</row>
    <row r="569" spans="1:31" ht="12" customHeight="1" x14ac:dyDescent="0.2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</row>
    <row r="570" spans="1:31" ht="12" customHeight="1" x14ac:dyDescent="0.2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</row>
    <row r="571" spans="1:31" ht="12" customHeight="1" x14ac:dyDescent="0.2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</row>
    <row r="572" spans="1:31" ht="12" customHeight="1" x14ac:dyDescent="0.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</row>
    <row r="573" spans="1:31" ht="12" customHeight="1" x14ac:dyDescent="0.2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</row>
    <row r="574" spans="1:31" ht="12" customHeight="1" x14ac:dyDescent="0.2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</row>
    <row r="575" spans="1:31" ht="12" customHeight="1" x14ac:dyDescent="0.2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</row>
    <row r="576" spans="1:31" ht="12" customHeight="1" x14ac:dyDescent="0.2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</row>
    <row r="577" spans="1:31" ht="12" customHeight="1" x14ac:dyDescent="0.2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</row>
    <row r="578" spans="1:31" ht="12" customHeight="1" x14ac:dyDescent="0.2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</row>
    <row r="579" spans="1:31" ht="12" customHeight="1" x14ac:dyDescent="0.2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</row>
    <row r="580" spans="1:31" ht="12" customHeight="1" x14ac:dyDescent="0.2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</row>
    <row r="581" spans="1:31" ht="12" customHeight="1" x14ac:dyDescent="0.2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</row>
    <row r="582" spans="1:31" ht="12" customHeight="1" x14ac:dyDescent="0.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</row>
    <row r="583" spans="1:31" ht="12" customHeight="1" x14ac:dyDescent="0.2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</row>
    <row r="584" spans="1:31" ht="12" customHeight="1" x14ac:dyDescent="0.2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</row>
    <row r="585" spans="1:31" ht="12" customHeight="1" x14ac:dyDescent="0.2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</row>
    <row r="586" spans="1:31" ht="12" customHeight="1" x14ac:dyDescent="0.2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</row>
    <row r="587" spans="1:31" ht="12" customHeight="1" x14ac:dyDescent="0.2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</row>
    <row r="588" spans="1:31" ht="12" customHeight="1" x14ac:dyDescent="0.2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</row>
    <row r="589" spans="1:31" ht="12" customHeight="1" x14ac:dyDescent="0.2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</row>
    <row r="590" spans="1:31" ht="12" customHeight="1" x14ac:dyDescent="0.2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</row>
    <row r="591" spans="1:31" ht="12" customHeight="1" x14ac:dyDescent="0.2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</row>
    <row r="592" spans="1:31" ht="12" customHeight="1" x14ac:dyDescent="0.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</row>
    <row r="593" spans="1:31" ht="12" customHeight="1" x14ac:dyDescent="0.2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</row>
    <row r="594" spans="1:31" ht="12" customHeight="1" x14ac:dyDescent="0.2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</row>
    <row r="595" spans="1:31" ht="12" customHeight="1" x14ac:dyDescent="0.2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</row>
    <row r="596" spans="1:31" ht="12" customHeight="1" x14ac:dyDescent="0.2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</row>
    <row r="597" spans="1:31" ht="12" customHeight="1" x14ac:dyDescent="0.2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</row>
    <row r="598" spans="1:31" ht="12" customHeight="1" x14ac:dyDescent="0.2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</row>
    <row r="599" spans="1:31" ht="12" customHeight="1" x14ac:dyDescent="0.2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</row>
    <row r="600" spans="1:31" ht="12" customHeight="1" x14ac:dyDescent="0.2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</row>
    <row r="601" spans="1:31" ht="12" customHeight="1" x14ac:dyDescent="0.2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</row>
    <row r="602" spans="1:31" ht="12" customHeight="1" x14ac:dyDescent="0.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</row>
    <row r="603" spans="1:31" ht="12" customHeight="1" x14ac:dyDescent="0.2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</row>
    <row r="604" spans="1:31" ht="12" customHeight="1" x14ac:dyDescent="0.2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</row>
    <row r="605" spans="1:31" ht="12" customHeight="1" x14ac:dyDescent="0.2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</row>
    <row r="606" spans="1:31" ht="12" customHeight="1" x14ac:dyDescent="0.2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</row>
    <row r="607" spans="1:31" ht="12" customHeight="1" x14ac:dyDescent="0.2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</row>
    <row r="608" spans="1:31" ht="12" customHeight="1" x14ac:dyDescent="0.2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</row>
    <row r="609" spans="1:31" ht="12" customHeight="1" x14ac:dyDescent="0.2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</row>
    <row r="610" spans="1:31" ht="12" customHeight="1" x14ac:dyDescent="0.2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</row>
    <row r="611" spans="1:31" ht="12" customHeight="1" x14ac:dyDescent="0.2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</row>
    <row r="612" spans="1:31" ht="12" customHeight="1" x14ac:dyDescent="0.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</row>
    <row r="613" spans="1:31" ht="12" customHeight="1" x14ac:dyDescent="0.2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</row>
    <row r="614" spans="1:31" ht="12" customHeight="1" x14ac:dyDescent="0.2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</row>
    <row r="615" spans="1:31" ht="12" customHeight="1" x14ac:dyDescent="0.2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</row>
    <row r="616" spans="1:31" ht="12" customHeight="1" x14ac:dyDescent="0.2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</row>
    <row r="617" spans="1:31" ht="12" customHeight="1" x14ac:dyDescent="0.2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</row>
    <row r="618" spans="1:31" ht="12" customHeight="1" x14ac:dyDescent="0.2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</row>
    <row r="619" spans="1:31" ht="12" customHeight="1" x14ac:dyDescent="0.2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</row>
    <row r="620" spans="1:31" ht="12" customHeight="1" x14ac:dyDescent="0.2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</row>
    <row r="621" spans="1:31" ht="12" customHeight="1" x14ac:dyDescent="0.2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</row>
    <row r="622" spans="1:31" ht="12" customHeight="1" x14ac:dyDescent="0.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</row>
    <row r="623" spans="1:31" ht="12" customHeight="1" x14ac:dyDescent="0.2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</row>
    <row r="624" spans="1:31" ht="12" customHeight="1" x14ac:dyDescent="0.2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</row>
    <row r="625" spans="1:31" ht="12" customHeight="1" x14ac:dyDescent="0.2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</row>
    <row r="626" spans="1:31" ht="12" customHeight="1" x14ac:dyDescent="0.2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</row>
    <row r="627" spans="1:31" ht="12" customHeight="1" x14ac:dyDescent="0.2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</row>
    <row r="628" spans="1:31" ht="12" customHeight="1" x14ac:dyDescent="0.2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</row>
    <row r="629" spans="1:31" ht="12" customHeight="1" x14ac:dyDescent="0.2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</row>
    <row r="630" spans="1:31" ht="12" customHeight="1" x14ac:dyDescent="0.2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</row>
    <row r="631" spans="1:31" ht="12" customHeight="1" x14ac:dyDescent="0.2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</row>
    <row r="632" spans="1:31" ht="12" customHeight="1" x14ac:dyDescent="0.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</row>
    <row r="633" spans="1:31" ht="12" customHeight="1" x14ac:dyDescent="0.2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</row>
    <row r="634" spans="1:31" ht="12" customHeight="1" x14ac:dyDescent="0.2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</row>
    <row r="635" spans="1:31" ht="12" customHeight="1" x14ac:dyDescent="0.2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</row>
    <row r="636" spans="1:31" ht="12" customHeight="1" x14ac:dyDescent="0.2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</row>
    <row r="637" spans="1:31" ht="12" customHeight="1" x14ac:dyDescent="0.2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</row>
    <row r="638" spans="1:31" ht="12" customHeight="1" x14ac:dyDescent="0.2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</row>
    <row r="639" spans="1:31" ht="12" customHeight="1" x14ac:dyDescent="0.2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</row>
    <row r="640" spans="1:31" ht="12" customHeight="1" x14ac:dyDescent="0.2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</row>
    <row r="641" spans="1:31" ht="12" customHeight="1" x14ac:dyDescent="0.2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</row>
    <row r="642" spans="1:31" ht="12" customHeight="1" x14ac:dyDescent="0.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</row>
    <row r="643" spans="1:31" ht="12" customHeight="1" x14ac:dyDescent="0.2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</row>
    <row r="644" spans="1:31" ht="12" customHeight="1" x14ac:dyDescent="0.2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</row>
    <row r="645" spans="1:31" ht="12" customHeight="1" x14ac:dyDescent="0.2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</row>
    <row r="646" spans="1:31" ht="12" customHeight="1" x14ac:dyDescent="0.2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</row>
    <row r="647" spans="1:31" ht="12" customHeight="1" x14ac:dyDescent="0.2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</row>
    <row r="648" spans="1:31" ht="12" customHeight="1" x14ac:dyDescent="0.2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</row>
    <row r="649" spans="1:31" ht="12" customHeight="1" x14ac:dyDescent="0.2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</row>
    <row r="650" spans="1:31" ht="12" customHeight="1" x14ac:dyDescent="0.2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</row>
    <row r="651" spans="1:31" ht="12" customHeight="1" x14ac:dyDescent="0.2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</row>
    <row r="652" spans="1:31" ht="12" customHeight="1" x14ac:dyDescent="0.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</row>
    <row r="653" spans="1:31" ht="12" customHeight="1" x14ac:dyDescent="0.2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</row>
    <row r="654" spans="1:31" ht="12" customHeight="1" x14ac:dyDescent="0.2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</row>
    <row r="655" spans="1:31" ht="12" customHeight="1" x14ac:dyDescent="0.2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</row>
    <row r="656" spans="1:31" ht="12" customHeight="1" x14ac:dyDescent="0.2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</row>
    <row r="657" spans="1:31" ht="12" customHeight="1" x14ac:dyDescent="0.2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</row>
    <row r="658" spans="1:31" ht="12" customHeight="1" x14ac:dyDescent="0.2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</row>
    <row r="659" spans="1:31" ht="12" customHeight="1" x14ac:dyDescent="0.2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</row>
    <row r="660" spans="1:31" ht="12" customHeight="1" x14ac:dyDescent="0.2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</row>
    <row r="661" spans="1:31" ht="12" customHeight="1" x14ac:dyDescent="0.2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</row>
    <row r="662" spans="1:31" ht="12" customHeight="1" x14ac:dyDescent="0.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</row>
    <row r="663" spans="1:31" ht="12" customHeight="1" x14ac:dyDescent="0.2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</row>
    <row r="664" spans="1:31" ht="12" customHeight="1" x14ac:dyDescent="0.2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</row>
    <row r="665" spans="1:31" ht="12" customHeight="1" x14ac:dyDescent="0.2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</row>
    <row r="666" spans="1:31" ht="12" customHeight="1" x14ac:dyDescent="0.2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</row>
    <row r="667" spans="1:31" ht="12" customHeight="1" x14ac:dyDescent="0.2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</row>
    <row r="668" spans="1:31" ht="12" customHeight="1" x14ac:dyDescent="0.2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</row>
    <row r="669" spans="1:31" ht="12" customHeight="1" x14ac:dyDescent="0.2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</row>
    <row r="670" spans="1:31" ht="12" customHeight="1" x14ac:dyDescent="0.2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</row>
    <row r="671" spans="1:31" ht="12" customHeight="1" x14ac:dyDescent="0.2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</row>
    <row r="672" spans="1:31" ht="12" customHeight="1" x14ac:dyDescent="0.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</row>
    <row r="673" spans="1:31" ht="12" customHeight="1" x14ac:dyDescent="0.2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</row>
    <row r="674" spans="1:31" ht="12" customHeight="1" x14ac:dyDescent="0.2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</row>
    <row r="675" spans="1:31" ht="12" customHeight="1" x14ac:dyDescent="0.2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</row>
    <row r="676" spans="1:31" ht="12" customHeight="1" x14ac:dyDescent="0.2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</row>
    <row r="677" spans="1:31" ht="12" customHeight="1" x14ac:dyDescent="0.2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</row>
    <row r="678" spans="1:31" ht="12" customHeight="1" x14ac:dyDescent="0.2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</row>
    <row r="679" spans="1:31" ht="12" customHeight="1" x14ac:dyDescent="0.2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</row>
    <row r="680" spans="1:31" ht="12" customHeight="1" x14ac:dyDescent="0.2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</row>
    <row r="681" spans="1:31" ht="12" customHeight="1" x14ac:dyDescent="0.2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</row>
    <row r="682" spans="1:31" ht="12" customHeight="1" x14ac:dyDescent="0.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</row>
    <row r="683" spans="1:31" ht="12" customHeight="1" x14ac:dyDescent="0.2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</row>
    <row r="684" spans="1:31" ht="12" customHeight="1" x14ac:dyDescent="0.2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</row>
    <row r="685" spans="1:31" ht="12" customHeight="1" x14ac:dyDescent="0.2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</row>
    <row r="686" spans="1:31" ht="12" customHeight="1" x14ac:dyDescent="0.2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</row>
    <row r="687" spans="1:31" ht="12" customHeight="1" x14ac:dyDescent="0.2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</row>
    <row r="688" spans="1:31" ht="12" customHeight="1" x14ac:dyDescent="0.2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</row>
    <row r="689" spans="1:31" ht="12" customHeight="1" x14ac:dyDescent="0.2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</row>
    <row r="690" spans="1:31" ht="12" customHeight="1" x14ac:dyDescent="0.2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</row>
    <row r="691" spans="1:31" ht="12" customHeight="1" x14ac:dyDescent="0.2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</row>
    <row r="692" spans="1:31" ht="12" customHeight="1" x14ac:dyDescent="0.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</row>
    <row r="693" spans="1:31" ht="12" customHeight="1" x14ac:dyDescent="0.2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</row>
    <row r="694" spans="1:31" ht="12" customHeight="1" x14ac:dyDescent="0.2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</row>
    <row r="695" spans="1:31" ht="12" customHeight="1" x14ac:dyDescent="0.2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</row>
    <row r="696" spans="1:31" ht="12" customHeight="1" x14ac:dyDescent="0.2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</row>
    <row r="697" spans="1:31" ht="12" customHeight="1" x14ac:dyDescent="0.2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</row>
    <row r="698" spans="1:31" ht="12" customHeight="1" x14ac:dyDescent="0.2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</row>
    <row r="699" spans="1:31" ht="12" customHeight="1" x14ac:dyDescent="0.2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</row>
    <row r="700" spans="1:31" ht="12" customHeight="1" x14ac:dyDescent="0.2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</row>
    <row r="701" spans="1:31" ht="12" customHeight="1" x14ac:dyDescent="0.2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</row>
    <row r="702" spans="1:31" ht="12" customHeight="1" x14ac:dyDescent="0.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</row>
    <row r="703" spans="1:31" ht="12" customHeight="1" x14ac:dyDescent="0.2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</row>
    <row r="704" spans="1:31" ht="12" customHeight="1" x14ac:dyDescent="0.2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</row>
    <row r="705" spans="1:31" ht="12" customHeight="1" x14ac:dyDescent="0.2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</row>
    <row r="706" spans="1:31" ht="12" customHeight="1" x14ac:dyDescent="0.2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</row>
    <row r="707" spans="1:31" ht="12" customHeight="1" x14ac:dyDescent="0.2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</row>
    <row r="708" spans="1:31" ht="12" customHeight="1" x14ac:dyDescent="0.2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</row>
    <row r="709" spans="1:31" ht="12" customHeight="1" x14ac:dyDescent="0.2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</row>
    <row r="710" spans="1:31" ht="12" customHeight="1" x14ac:dyDescent="0.2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</row>
    <row r="711" spans="1:31" ht="12" customHeight="1" x14ac:dyDescent="0.2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</row>
    <row r="712" spans="1:31" ht="12" customHeight="1" x14ac:dyDescent="0.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</row>
    <row r="713" spans="1:31" ht="12" customHeight="1" x14ac:dyDescent="0.2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</row>
    <row r="714" spans="1:31" ht="12" customHeight="1" x14ac:dyDescent="0.2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</row>
    <row r="715" spans="1:31" ht="12" customHeight="1" x14ac:dyDescent="0.2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</row>
    <row r="716" spans="1:31" ht="12" customHeight="1" x14ac:dyDescent="0.2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</row>
    <row r="717" spans="1:31" ht="12" customHeight="1" x14ac:dyDescent="0.2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</row>
    <row r="718" spans="1:31" ht="12" customHeight="1" x14ac:dyDescent="0.2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</row>
    <row r="719" spans="1:31" ht="12" customHeight="1" x14ac:dyDescent="0.2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</row>
    <row r="720" spans="1:31" ht="12" customHeight="1" x14ac:dyDescent="0.2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</row>
    <row r="721" spans="1:31" ht="12" customHeight="1" x14ac:dyDescent="0.2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</row>
    <row r="722" spans="1:31" ht="12" customHeight="1" x14ac:dyDescent="0.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</row>
    <row r="723" spans="1:31" ht="12" customHeight="1" x14ac:dyDescent="0.2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</row>
    <row r="724" spans="1:31" ht="12" customHeight="1" x14ac:dyDescent="0.2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</row>
    <row r="725" spans="1:31" ht="12" customHeight="1" x14ac:dyDescent="0.2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</row>
    <row r="726" spans="1:31" ht="12" customHeight="1" x14ac:dyDescent="0.2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</row>
    <row r="727" spans="1:31" ht="12" customHeight="1" x14ac:dyDescent="0.2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</row>
    <row r="728" spans="1:31" ht="12" customHeight="1" x14ac:dyDescent="0.2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</row>
    <row r="729" spans="1:31" ht="12" customHeight="1" x14ac:dyDescent="0.2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</row>
    <row r="730" spans="1:31" ht="12" customHeight="1" x14ac:dyDescent="0.2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</row>
    <row r="731" spans="1:31" ht="12" customHeight="1" x14ac:dyDescent="0.2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</row>
    <row r="732" spans="1:31" ht="12" customHeight="1" x14ac:dyDescent="0.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</row>
    <row r="733" spans="1:31" ht="12" customHeight="1" x14ac:dyDescent="0.2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</row>
    <row r="734" spans="1:31" ht="12" customHeight="1" x14ac:dyDescent="0.2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</row>
    <row r="735" spans="1:31" ht="12" customHeight="1" x14ac:dyDescent="0.2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</row>
    <row r="736" spans="1:31" ht="12" customHeight="1" x14ac:dyDescent="0.2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</row>
    <row r="737" spans="1:31" ht="12" customHeight="1" x14ac:dyDescent="0.2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</row>
    <row r="738" spans="1:31" ht="12" customHeight="1" x14ac:dyDescent="0.2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</row>
    <row r="739" spans="1:31" ht="12" customHeight="1" x14ac:dyDescent="0.2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</row>
    <row r="740" spans="1:31" ht="12" customHeight="1" x14ac:dyDescent="0.2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</row>
    <row r="741" spans="1:31" ht="12" customHeight="1" x14ac:dyDescent="0.2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</row>
    <row r="742" spans="1:31" ht="12" customHeight="1" x14ac:dyDescent="0.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</row>
    <row r="743" spans="1:31" ht="12" customHeight="1" x14ac:dyDescent="0.2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</row>
    <row r="744" spans="1:31" ht="12" customHeight="1" x14ac:dyDescent="0.2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</row>
    <row r="745" spans="1:31" ht="12" customHeight="1" x14ac:dyDescent="0.2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</row>
    <row r="746" spans="1:31" ht="12" customHeight="1" x14ac:dyDescent="0.2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</row>
    <row r="747" spans="1:31" ht="12" customHeight="1" x14ac:dyDescent="0.2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</row>
    <row r="748" spans="1:31" ht="12" customHeight="1" x14ac:dyDescent="0.2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</row>
    <row r="749" spans="1:31" ht="12" customHeight="1" x14ac:dyDescent="0.2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</row>
    <row r="750" spans="1:31" ht="12" customHeight="1" x14ac:dyDescent="0.2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</row>
    <row r="751" spans="1:31" ht="12" customHeight="1" x14ac:dyDescent="0.2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</row>
    <row r="752" spans="1:31" ht="12" customHeight="1" x14ac:dyDescent="0.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</row>
    <row r="753" spans="1:31" ht="12" customHeight="1" x14ac:dyDescent="0.2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</row>
    <row r="754" spans="1:31" ht="12" customHeight="1" x14ac:dyDescent="0.2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</row>
    <row r="755" spans="1:31" ht="12" customHeight="1" x14ac:dyDescent="0.2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</row>
    <row r="756" spans="1:31" ht="12" customHeight="1" x14ac:dyDescent="0.2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</row>
    <row r="757" spans="1:31" ht="12" customHeight="1" x14ac:dyDescent="0.2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</row>
    <row r="758" spans="1:31" ht="12" customHeight="1" x14ac:dyDescent="0.2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</row>
    <row r="759" spans="1:31" ht="12" customHeight="1" x14ac:dyDescent="0.2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</row>
    <row r="760" spans="1:31" ht="12" customHeight="1" x14ac:dyDescent="0.2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</row>
    <row r="761" spans="1:31" ht="12" customHeight="1" x14ac:dyDescent="0.2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</row>
    <row r="762" spans="1:31" ht="12" customHeight="1" x14ac:dyDescent="0.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</row>
    <row r="763" spans="1:31" ht="12" customHeight="1" x14ac:dyDescent="0.2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</row>
    <row r="764" spans="1:31" ht="12" customHeight="1" x14ac:dyDescent="0.2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</row>
    <row r="765" spans="1:31" ht="12" customHeight="1" x14ac:dyDescent="0.2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</row>
    <row r="766" spans="1:31" ht="12" customHeight="1" x14ac:dyDescent="0.2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</row>
    <row r="767" spans="1:31" ht="12" customHeight="1" x14ac:dyDescent="0.2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</row>
    <row r="768" spans="1:31" ht="12" customHeight="1" x14ac:dyDescent="0.2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</row>
    <row r="769" spans="1:31" ht="12" customHeight="1" x14ac:dyDescent="0.2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</row>
    <row r="770" spans="1:31" ht="12" customHeight="1" x14ac:dyDescent="0.2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</row>
    <row r="771" spans="1:31" ht="12" customHeight="1" x14ac:dyDescent="0.2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</row>
    <row r="772" spans="1:31" ht="12" customHeight="1" x14ac:dyDescent="0.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</row>
    <row r="773" spans="1:31" ht="12" customHeight="1" x14ac:dyDescent="0.2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</row>
    <row r="774" spans="1:31" ht="12" customHeight="1" x14ac:dyDescent="0.2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</row>
    <row r="775" spans="1:31" ht="12" customHeight="1" x14ac:dyDescent="0.2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</row>
    <row r="776" spans="1:31" ht="12" customHeight="1" x14ac:dyDescent="0.2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</row>
    <row r="777" spans="1:31" ht="12" customHeight="1" x14ac:dyDescent="0.2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</row>
    <row r="778" spans="1:31" ht="12" customHeight="1" x14ac:dyDescent="0.2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</row>
    <row r="779" spans="1:31" ht="12" customHeight="1" x14ac:dyDescent="0.2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</row>
    <row r="780" spans="1:31" ht="12" customHeight="1" x14ac:dyDescent="0.2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</row>
    <row r="781" spans="1:31" ht="12" customHeight="1" x14ac:dyDescent="0.2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</row>
    <row r="782" spans="1:31" ht="12" customHeight="1" x14ac:dyDescent="0.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</row>
    <row r="783" spans="1:31" ht="12" customHeight="1" x14ac:dyDescent="0.2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</row>
    <row r="784" spans="1:31" ht="12" customHeight="1" x14ac:dyDescent="0.2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</row>
    <row r="785" spans="1:31" ht="12" customHeight="1" x14ac:dyDescent="0.2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</row>
    <row r="786" spans="1:31" ht="12" customHeight="1" x14ac:dyDescent="0.2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</row>
    <row r="787" spans="1:31" ht="12" customHeight="1" x14ac:dyDescent="0.2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</row>
    <row r="788" spans="1:31" ht="12" customHeight="1" x14ac:dyDescent="0.2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</row>
    <row r="789" spans="1:31" ht="12" customHeight="1" x14ac:dyDescent="0.2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</row>
    <row r="790" spans="1:31" ht="12" customHeight="1" x14ac:dyDescent="0.2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</row>
    <row r="791" spans="1:31" ht="12" customHeight="1" x14ac:dyDescent="0.2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</row>
    <row r="792" spans="1:31" ht="12" customHeight="1" x14ac:dyDescent="0.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</row>
    <row r="793" spans="1:31" ht="12" customHeight="1" x14ac:dyDescent="0.2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</row>
    <row r="794" spans="1:31" ht="12" customHeight="1" x14ac:dyDescent="0.2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</row>
    <row r="795" spans="1:31" ht="12" customHeight="1" x14ac:dyDescent="0.2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</row>
    <row r="796" spans="1:31" ht="12" customHeight="1" x14ac:dyDescent="0.2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</row>
    <row r="797" spans="1:31" ht="12" customHeight="1" x14ac:dyDescent="0.2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</row>
    <row r="798" spans="1:31" ht="12" customHeight="1" x14ac:dyDescent="0.2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</row>
    <row r="799" spans="1:31" ht="12" customHeight="1" x14ac:dyDescent="0.2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</row>
    <row r="800" spans="1:31" ht="12" customHeight="1" x14ac:dyDescent="0.2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</row>
    <row r="801" spans="1:31" ht="12" customHeight="1" x14ac:dyDescent="0.2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</row>
    <row r="802" spans="1:31" ht="12" customHeight="1" x14ac:dyDescent="0.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</row>
    <row r="803" spans="1:31" ht="12" customHeight="1" x14ac:dyDescent="0.2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</row>
    <row r="804" spans="1:31" ht="12" customHeight="1" x14ac:dyDescent="0.2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</row>
    <row r="805" spans="1:31" ht="12" customHeight="1" x14ac:dyDescent="0.2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</row>
    <row r="806" spans="1:31" ht="12" customHeight="1" x14ac:dyDescent="0.2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</row>
    <row r="807" spans="1:31" ht="12" customHeight="1" x14ac:dyDescent="0.2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</row>
    <row r="808" spans="1:31" ht="12" customHeight="1" x14ac:dyDescent="0.2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</row>
    <row r="809" spans="1:31" ht="12" customHeight="1" x14ac:dyDescent="0.2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</row>
    <row r="810" spans="1:31" ht="12" customHeight="1" x14ac:dyDescent="0.2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</row>
    <row r="811" spans="1:31" ht="12" customHeight="1" x14ac:dyDescent="0.2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</row>
    <row r="812" spans="1:31" ht="12" customHeight="1" x14ac:dyDescent="0.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</row>
    <row r="813" spans="1:31" ht="12" customHeight="1" x14ac:dyDescent="0.2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</row>
    <row r="814" spans="1:31" ht="12" customHeight="1" x14ac:dyDescent="0.2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</row>
    <row r="815" spans="1:31" ht="12" customHeight="1" x14ac:dyDescent="0.2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</row>
    <row r="816" spans="1:31" ht="12" customHeight="1" x14ac:dyDescent="0.2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</row>
    <row r="817" spans="1:31" ht="12" customHeight="1" x14ac:dyDescent="0.2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</row>
    <row r="818" spans="1:31" ht="12" customHeight="1" x14ac:dyDescent="0.2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</row>
    <row r="819" spans="1:31" ht="12" customHeight="1" x14ac:dyDescent="0.2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</row>
    <row r="820" spans="1:31" ht="12" customHeight="1" x14ac:dyDescent="0.2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</row>
    <row r="821" spans="1:31" ht="12" customHeight="1" x14ac:dyDescent="0.2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</row>
    <row r="822" spans="1:31" ht="12" customHeight="1" x14ac:dyDescent="0.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</row>
    <row r="823" spans="1:31" ht="12" customHeight="1" x14ac:dyDescent="0.2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</row>
    <row r="824" spans="1:31" ht="12" customHeight="1" x14ac:dyDescent="0.2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</row>
    <row r="825" spans="1:31" ht="12" customHeight="1" x14ac:dyDescent="0.2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</row>
    <row r="826" spans="1:31" ht="12" customHeight="1" x14ac:dyDescent="0.2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</row>
    <row r="827" spans="1:31" ht="12" customHeight="1" x14ac:dyDescent="0.2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</row>
    <row r="828" spans="1:31" ht="12" customHeight="1" x14ac:dyDescent="0.2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</row>
    <row r="829" spans="1:31" ht="12" customHeight="1" x14ac:dyDescent="0.2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</row>
    <row r="830" spans="1:31" ht="12" customHeight="1" x14ac:dyDescent="0.2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</row>
    <row r="831" spans="1:31" ht="12" customHeight="1" x14ac:dyDescent="0.2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</row>
    <row r="832" spans="1:31" ht="12" customHeight="1" x14ac:dyDescent="0.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</row>
    <row r="833" spans="1:31" ht="12" customHeight="1" x14ac:dyDescent="0.2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</row>
    <row r="834" spans="1:31" ht="12" customHeight="1" x14ac:dyDescent="0.2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</row>
    <row r="835" spans="1:31" ht="12" customHeight="1" x14ac:dyDescent="0.2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</row>
    <row r="836" spans="1:31" ht="12" customHeight="1" x14ac:dyDescent="0.2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</row>
    <row r="837" spans="1:31" ht="12" customHeight="1" x14ac:dyDescent="0.2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</row>
    <row r="838" spans="1:31" ht="12" customHeight="1" x14ac:dyDescent="0.2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</row>
    <row r="839" spans="1:31" ht="12" customHeight="1" x14ac:dyDescent="0.2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</row>
    <row r="840" spans="1:31" ht="12" customHeight="1" x14ac:dyDescent="0.2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</row>
    <row r="841" spans="1:31" ht="12" customHeight="1" x14ac:dyDescent="0.2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</row>
    <row r="842" spans="1:31" ht="12" customHeight="1" x14ac:dyDescent="0.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</row>
    <row r="843" spans="1:31" ht="12" customHeight="1" x14ac:dyDescent="0.2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</row>
    <row r="844" spans="1:31" ht="12" customHeight="1" x14ac:dyDescent="0.2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</row>
    <row r="845" spans="1:31" ht="12" customHeight="1" x14ac:dyDescent="0.2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</row>
    <row r="846" spans="1:31" ht="12" customHeight="1" x14ac:dyDescent="0.2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</row>
    <row r="847" spans="1:31" ht="12" customHeight="1" x14ac:dyDescent="0.2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</row>
    <row r="848" spans="1:31" ht="12" customHeight="1" x14ac:dyDescent="0.2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</row>
    <row r="849" spans="1:31" ht="12" customHeight="1" x14ac:dyDescent="0.2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</row>
    <row r="850" spans="1:31" ht="12" customHeight="1" x14ac:dyDescent="0.2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</row>
    <row r="851" spans="1:31" ht="12" customHeight="1" x14ac:dyDescent="0.2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</row>
    <row r="852" spans="1:31" ht="12" customHeight="1" x14ac:dyDescent="0.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</row>
    <row r="853" spans="1:31" ht="12" customHeight="1" x14ac:dyDescent="0.2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</row>
    <row r="854" spans="1:31" ht="12" customHeight="1" x14ac:dyDescent="0.2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</row>
    <row r="855" spans="1:31" ht="12" customHeight="1" x14ac:dyDescent="0.2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</row>
    <row r="856" spans="1:31" ht="12" customHeight="1" x14ac:dyDescent="0.2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</row>
    <row r="857" spans="1:31" ht="12" customHeight="1" x14ac:dyDescent="0.2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</row>
    <row r="858" spans="1:31" ht="12" customHeight="1" x14ac:dyDescent="0.2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</row>
    <row r="859" spans="1:31" ht="12" customHeight="1" x14ac:dyDescent="0.2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</row>
    <row r="860" spans="1:31" ht="12" customHeight="1" x14ac:dyDescent="0.2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</row>
    <row r="861" spans="1:31" ht="12" customHeight="1" x14ac:dyDescent="0.2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</row>
    <row r="862" spans="1:31" ht="12" customHeight="1" x14ac:dyDescent="0.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</row>
    <row r="863" spans="1:31" ht="12" customHeight="1" x14ac:dyDescent="0.2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</row>
    <row r="864" spans="1:31" ht="12" customHeight="1" x14ac:dyDescent="0.2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</row>
    <row r="865" spans="1:31" ht="12" customHeight="1" x14ac:dyDescent="0.2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</row>
    <row r="866" spans="1:31" ht="12" customHeight="1" x14ac:dyDescent="0.2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</row>
    <row r="867" spans="1:31" ht="12" customHeight="1" x14ac:dyDescent="0.2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</row>
    <row r="868" spans="1:31" ht="12" customHeight="1" x14ac:dyDescent="0.2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</row>
    <row r="869" spans="1:31" ht="12" customHeight="1" x14ac:dyDescent="0.2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</row>
    <row r="870" spans="1:31" ht="12" customHeight="1" x14ac:dyDescent="0.2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</row>
    <row r="871" spans="1:31" ht="12" customHeight="1" x14ac:dyDescent="0.2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</row>
    <row r="872" spans="1:31" ht="12" customHeight="1" x14ac:dyDescent="0.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</row>
    <row r="873" spans="1:31" ht="12" customHeight="1" x14ac:dyDescent="0.2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</row>
    <row r="874" spans="1:31" ht="12" customHeight="1" x14ac:dyDescent="0.2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</row>
    <row r="875" spans="1:31" ht="12" customHeight="1" x14ac:dyDescent="0.2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</row>
    <row r="876" spans="1:31" ht="12" customHeight="1" x14ac:dyDescent="0.2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</row>
    <row r="877" spans="1:31" ht="12" customHeight="1" x14ac:dyDescent="0.2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</row>
    <row r="878" spans="1:31" ht="12" customHeight="1" x14ac:dyDescent="0.2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</row>
    <row r="879" spans="1:31" ht="12" customHeight="1" x14ac:dyDescent="0.2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</row>
    <row r="880" spans="1:31" ht="12" customHeight="1" x14ac:dyDescent="0.2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</row>
    <row r="881" spans="1:31" ht="12" customHeight="1" x14ac:dyDescent="0.2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</row>
    <row r="882" spans="1:31" ht="12" customHeight="1" x14ac:dyDescent="0.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</row>
    <row r="883" spans="1:31" ht="12" customHeight="1" x14ac:dyDescent="0.2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</row>
    <row r="884" spans="1:31" ht="12" customHeight="1" x14ac:dyDescent="0.2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</row>
    <row r="885" spans="1:31" ht="12" customHeight="1" x14ac:dyDescent="0.2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</row>
    <row r="886" spans="1:31" ht="12" customHeight="1" x14ac:dyDescent="0.2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</row>
    <row r="887" spans="1:31" ht="12" customHeight="1" x14ac:dyDescent="0.2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</row>
    <row r="888" spans="1:31" ht="12" customHeight="1" x14ac:dyDescent="0.2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</row>
    <row r="889" spans="1:31" ht="12" customHeight="1" x14ac:dyDescent="0.2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</row>
    <row r="890" spans="1:31" ht="12" customHeight="1" x14ac:dyDescent="0.2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</row>
    <row r="891" spans="1:31" ht="12" customHeight="1" x14ac:dyDescent="0.2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</row>
    <row r="892" spans="1:31" ht="12" customHeight="1" x14ac:dyDescent="0.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</row>
    <row r="893" spans="1:31" ht="12" customHeight="1" x14ac:dyDescent="0.2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</row>
    <row r="894" spans="1:31" ht="12" customHeight="1" x14ac:dyDescent="0.2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</row>
    <row r="895" spans="1:31" ht="12" customHeight="1" x14ac:dyDescent="0.2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</row>
    <row r="896" spans="1:31" ht="12" customHeight="1" x14ac:dyDescent="0.2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</row>
    <row r="897" spans="1:31" ht="12" customHeight="1" x14ac:dyDescent="0.2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</row>
    <row r="898" spans="1:31" ht="12" customHeight="1" x14ac:dyDescent="0.2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</row>
    <row r="899" spans="1:31" ht="12" customHeight="1" x14ac:dyDescent="0.2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</row>
    <row r="900" spans="1:31" ht="12" customHeight="1" x14ac:dyDescent="0.2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</row>
    <row r="901" spans="1:31" ht="12" customHeight="1" x14ac:dyDescent="0.2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</row>
    <row r="902" spans="1:31" ht="12" customHeight="1" x14ac:dyDescent="0.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</row>
    <row r="903" spans="1:31" ht="12" customHeight="1" x14ac:dyDescent="0.2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</row>
    <row r="904" spans="1:31" ht="12" customHeight="1" x14ac:dyDescent="0.2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</row>
    <row r="905" spans="1:31" ht="12" customHeight="1" x14ac:dyDescent="0.2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</row>
    <row r="906" spans="1:31" ht="12" customHeight="1" x14ac:dyDescent="0.2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</row>
    <row r="907" spans="1:31" ht="12" customHeight="1" x14ac:dyDescent="0.2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</row>
    <row r="908" spans="1:31" ht="12" customHeight="1" x14ac:dyDescent="0.2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</row>
    <row r="909" spans="1:31" ht="12" customHeight="1" x14ac:dyDescent="0.2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</row>
    <row r="910" spans="1:31" ht="12" customHeight="1" x14ac:dyDescent="0.2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</row>
    <row r="911" spans="1:31" ht="12" customHeight="1" x14ac:dyDescent="0.2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</row>
    <row r="912" spans="1:31" ht="12" customHeight="1" x14ac:dyDescent="0.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</row>
    <row r="913" spans="1:31" ht="12" customHeight="1" x14ac:dyDescent="0.2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</row>
    <row r="914" spans="1:31" ht="12" customHeight="1" x14ac:dyDescent="0.2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</row>
    <row r="915" spans="1:31" ht="12" customHeight="1" x14ac:dyDescent="0.2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</row>
    <row r="916" spans="1:31" ht="12" customHeight="1" x14ac:dyDescent="0.2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</row>
    <row r="917" spans="1:31" ht="12" customHeight="1" x14ac:dyDescent="0.2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</row>
    <row r="918" spans="1:31" ht="12" customHeight="1" x14ac:dyDescent="0.2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</row>
    <row r="919" spans="1:31" ht="12" customHeight="1" x14ac:dyDescent="0.2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</row>
    <row r="920" spans="1:31" ht="12" customHeight="1" x14ac:dyDescent="0.2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</row>
    <row r="921" spans="1:31" ht="12" customHeight="1" x14ac:dyDescent="0.2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</row>
    <row r="922" spans="1:31" ht="12" customHeight="1" x14ac:dyDescent="0.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</row>
    <row r="923" spans="1:31" ht="12" customHeight="1" x14ac:dyDescent="0.2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</row>
    <row r="924" spans="1:31" ht="12" customHeight="1" x14ac:dyDescent="0.2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</row>
    <row r="925" spans="1:31" ht="12" customHeight="1" x14ac:dyDescent="0.2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</row>
    <row r="926" spans="1:31" ht="12" customHeight="1" x14ac:dyDescent="0.2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</row>
    <row r="927" spans="1:31" ht="12" customHeight="1" x14ac:dyDescent="0.2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</row>
    <row r="928" spans="1:31" ht="12" customHeight="1" x14ac:dyDescent="0.2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</row>
    <row r="929" spans="1:31" ht="12" customHeight="1" x14ac:dyDescent="0.2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</row>
    <row r="930" spans="1:31" ht="12" customHeight="1" x14ac:dyDescent="0.2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</row>
    <row r="931" spans="1:31" ht="12" customHeight="1" x14ac:dyDescent="0.2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</row>
    <row r="932" spans="1:31" ht="12" customHeight="1" x14ac:dyDescent="0.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</row>
    <row r="933" spans="1:31" ht="12" customHeight="1" x14ac:dyDescent="0.2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</row>
    <row r="934" spans="1:31" ht="12" customHeight="1" x14ac:dyDescent="0.2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</row>
    <row r="935" spans="1:31" ht="12" customHeight="1" x14ac:dyDescent="0.2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</row>
    <row r="936" spans="1:31" ht="12" customHeight="1" x14ac:dyDescent="0.2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</row>
    <row r="937" spans="1:31" ht="12" customHeight="1" x14ac:dyDescent="0.2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</row>
    <row r="938" spans="1:31" ht="12" customHeight="1" x14ac:dyDescent="0.2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</row>
    <row r="939" spans="1:31" ht="12" customHeight="1" x14ac:dyDescent="0.2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</row>
    <row r="940" spans="1:31" ht="12" customHeight="1" x14ac:dyDescent="0.2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</row>
    <row r="941" spans="1:31" ht="12" customHeight="1" x14ac:dyDescent="0.2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</row>
    <row r="942" spans="1:31" ht="12" customHeight="1" x14ac:dyDescent="0.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</row>
    <row r="943" spans="1:31" ht="12" customHeight="1" x14ac:dyDescent="0.2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</row>
    <row r="944" spans="1:31" ht="12" customHeight="1" x14ac:dyDescent="0.2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</row>
    <row r="945" spans="1:31" ht="12" customHeight="1" x14ac:dyDescent="0.2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</row>
    <row r="946" spans="1:31" ht="12" customHeight="1" x14ac:dyDescent="0.2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</row>
    <row r="947" spans="1:31" ht="12" customHeight="1" x14ac:dyDescent="0.2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</row>
    <row r="948" spans="1:31" ht="12" customHeight="1" x14ac:dyDescent="0.2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</row>
    <row r="949" spans="1:31" ht="12" customHeight="1" x14ac:dyDescent="0.2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</row>
    <row r="950" spans="1:31" ht="12" customHeight="1" x14ac:dyDescent="0.2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</row>
    <row r="951" spans="1:31" ht="12" customHeight="1" x14ac:dyDescent="0.2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</row>
    <row r="952" spans="1:31" ht="12" customHeight="1" x14ac:dyDescent="0.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</row>
    <row r="953" spans="1:31" ht="12" customHeight="1" x14ac:dyDescent="0.2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</row>
    <row r="954" spans="1:31" ht="12" customHeight="1" x14ac:dyDescent="0.2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</row>
    <row r="955" spans="1:31" ht="12" customHeight="1" x14ac:dyDescent="0.2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</row>
    <row r="956" spans="1:31" ht="12" customHeight="1" x14ac:dyDescent="0.2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</row>
    <row r="957" spans="1:31" ht="12" customHeight="1" x14ac:dyDescent="0.2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</row>
    <row r="958" spans="1:31" ht="12" customHeight="1" x14ac:dyDescent="0.2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</row>
    <row r="959" spans="1:31" ht="12" customHeight="1" x14ac:dyDescent="0.2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</row>
    <row r="960" spans="1:31" ht="12" customHeight="1" x14ac:dyDescent="0.2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</row>
    <row r="961" spans="1:31" ht="12" customHeight="1" x14ac:dyDescent="0.2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</row>
    <row r="962" spans="1:31" ht="12" customHeight="1" x14ac:dyDescent="0.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</row>
    <row r="963" spans="1:31" ht="12" customHeight="1" x14ac:dyDescent="0.2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</row>
    <row r="964" spans="1:31" ht="12" customHeight="1" x14ac:dyDescent="0.2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</row>
    <row r="965" spans="1:31" ht="12" customHeight="1" x14ac:dyDescent="0.2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</row>
    <row r="966" spans="1:31" ht="12" customHeight="1" x14ac:dyDescent="0.2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</row>
    <row r="967" spans="1:31" ht="12" customHeight="1" x14ac:dyDescent="0.2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</row>
    <row r="968" spans="1:31" ht="12" customHeight="1" x14ac:dyDescent="0.2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</row>
    <row r="969" spans="1:31" ht="12" customHeight="1" x14ac:dyDescent="0.2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</row>
    <row r="970" spans="1:31" ht="12" customHeight="1" x14ac:dyDescent="0.2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</row>
    <row r="971" spans="1:31" ht="12" customHeight="1" x14ac:dyDescent="0.2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</row>
    <row r="972" spans="1:31" ht="12" customHeight="1" x14ac:dyDescent="0.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</row>
    <row r="973" spans="1:31" ht="15" customHeight="1" x14ac:dyDescent="0.2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</row>
    <row r="974" spans="1:31" ht="15" customHeight="1" x14ac:dyDescent="0.2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</row>
    <row r="975" spans="1:31" ht="15" customHeight="1" x14ac:dyDescent="0.2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</row>
    <row r="976" spans="1:31" ht="15" customHeight="1" x14ac:dyDescent="0.2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</row>
    <row r="977" spans="1:17" ht="15" customHeight="1" x14ac:dyDescent="0.2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</row>
    <row r="978" spans="1:17" ht="15" customHeight="1" x14ac:dyDescent="0.2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</row>
    <row r="979" spans="1:17" ht="15" customHeight="1" x14ac:dyDescent="0.2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</row>
    <row r="980" spans="1:17" ht="15" customHeight="1" x14ac:dyDescent="0.2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</row>
    <row r="981" spans="1:17" ht="15" customHeight="1" x14ac:dyDescent="0.2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</row>
    <row r="982" spans="1:17" ht="15" customHeight="1" x14ac:dyDescent="0.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</row>
    <row r="983" spans="1:17" ht="15" customHeight="1" x14ac:dyDescent="0.2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</row>
    <row r="984" spans="1:17" ht="15" customHeight="1" x14ac:dyDescent="0.2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</row>
    <row r="985" spans="1:17" ht="15" customHeight="1" x14ac:dyDescent="0.2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</row>
    <row r="986" spans="1:17" ht="15" customHeight="1" x14ac:dyDescent="0.2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</row>
    <row r="987" spans="1:17" ht="15" customHeight="1" x14ac:dyDescent="0.2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</row>
    <row r="988" spans="1:17" ht="15" customHeight="1" x14ac:dyDescent="0.2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</row>
    <row r="989" spans="1:17" ht="15" customHeight="1" x14ac:dyDescent="0.2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</row>
    <row r="990" spans="1:17" ht="15" customHeight="1" x14ac:dyDescent="0.2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</row>
    <row r="991" spans="1:17" ht="15" customHeight="1" x14ac:dyDescent="0.2">
      <c r="A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</row>
    <row r="992" spans="1:17" ht="15" customHeight="1" x14ac:dyDescent="0.2">
      <c r="A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</row>
    <row r="993" spans="1:17" ht="15" customHeight="1" x14ac:dyDescent="0.2">
      <c r="A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</row>
    <row r="994" spans="1:17" ht="15" customHeight="1" x14ac:dyDescent="0.2">
      <c r="A994" s="21"/>
      <c r="K994" s="21"/>
      <c r="L994" s="21"/>
      <c r="M994" s="21"/>
      <c r="N994" s="21"/>
      <c r="O994" s="21"/>
      <c r="P994" s="21"/>
      <c r="Q994" s="21"/>
    </row>
    <row r="995" spans="1:17" ht="15" customHeight="1" x14ac:dyDescent="0.2">
      <c r="A995" s="21"/>
      <c r="K995" s="21"/>
      <c r="L995" s="21"/>
      <c r="M995" s="21"/>
      <c r="N995" s="21"/>
      <c r="O995" s="21"/>
      <c r="P995" s="21"/>
      <c r="Q995" s="21"/>
    </row>
  </sheetData>
  <mergeCells count="70">
    <mergeCell ref="A193:C193"/>
    <mergeCell ref="A179:C179"/>
    <mergeCell ref="A180:C180"/>
    <mergeCell ref="A181:C181"/>
    <mergeCell ref="A182:C182"/>
    <mergeCell ref="A183:C183"/>
    <mergeCell ref="A188:C188"/>
    <mergeCell ref="A189:C189"/>
    <mergeCell ref="A190:C190"/>
    <mergeCell ref="A191:C191"/>
    <mergeCell ref="A192:C192"/>
    <mergeCell ref="A165:C165"/>
    <mergeCell ref="A163:C163"/>
    <mergeCell ref="A161:C161"/>
    <mergeCell ref="A162:C162"/>
    <mergeCell ref="A164:C164"/>
    <mergeCell ref="A172:C172"/>
    <mergeCell ref="A173:C173"/>
    <mergeCell ref="A174:C174"/>
    <mergeCell ref="A175:C175"/>
    <mergeCell ref="A166:C166"/>
    <mergeCell ref="A167:C167"/>
    <mergeCell ref="A168:C168"/>
    <mergeCell ref="A169:C169"/>
    <mergeCell ref="A170:C170"/>
    <mergeCell ref="A171:C171"/>
    <mergeCell ref="A157:C157"/>
    <mergeCell ref="A158:C158"/>
    <mergeCell ref="A159:C159"/>
    <mergeCell ref="A160:C160"/>
    <mergeCell ref="A156:C156"/>
    <mergeCell ref="A122:C122"/>
    <mergeCell ref="A98:C98"/>
    <mergeCell ref="A99:C99"/>
    <mergeCell ref="A100:C100"/>
    <mergeCell ref="A101:C101"/>
    <mergeCell ref="A117:C117"/>
    <mergeCell ref="A118:C118"/>
    <mergeCell ref="A119:C119"/>
    <mergeCell ref="A120:C120"/>
    <mergeCell ref="A121:C121"/>
    <mergeCell ref="A97:C97"/>
    <mergeCell ref="A77:C77"/>
    <mergeCell ref="A79:C79"/>
    <mergeCell ref="A80:C80"/>
    <mergeCell ref="A81:C81"/>
    <mergeCell ref="A83:C83"/>
    <mergeCell ref="A84:C84"/>
    <mergeCell ref="A88:C88"/>
    <mergeCell ref="A89:C89"/>
    <mergeCell ref="A90:C90"/>
    <mergeCell ref="A91:C91"/>
    <mergeCell ref="A92:C92"/>
    <mergeCell ref="A20:C20"/>
    <mergeCell ref="A21:C21"/>
    <mergeCell ref="A22:C22"/>
    <mergeCell ref="A23:C23"/>
    <mergeCell ref="A24:C24"/>
    <mergeCell ref="A16:C16"/>
    <mergeCell ref="A4:C4"/>
    <mergeCell ref="A5:C5"/>
    <mergeCell ref="A6:C6"/>
    <mergeCell ref="A7:C7"/>
    <mergeCell ref="A8:C8"/>
    <mergeCell ref="A9:C9"/>
    <mergeCell ref="A10:C10"/>
    <mergeCell ref="A12:C12"/>
    <mergeCell ref="A13:C13"/>
    <mergeCell ref="A14:C14"/>
    <mergeCell ref="A15:C15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5A669-2BA2-A941-A538-9C3873867726}">
  <dimension ref="A1:Z1001"/>
  <sheetViews>
    <sheetView workbookViewId="0">
      <selection activeCell="G25" sqref="G25"/>
    </sheetView>
  </sheetViews>
  <sheetFormatPr baseColWidth="10" defaultColWidth="12.6640625" defaultRowHeight="15" x14ac:dyDescent="0.2"/>
  <cols>
    <col min="1" max="1" width="4.83203125" customWidth="1"/>
    <col min="2" max="2" width="20" customWidth="1"/>
  </cols>
  <sheetData>
    <row r="1" spans="1:26" ht="15.75" customHeight="1" x14ac:dyDescent="0.25">
      <c r="A1" s="154" t="s">
        <v>137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70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spans="1:26" x14ac:dyDescent="0.2">
      <c r="A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spans="1:26" x14ac:dyDescent="0.2">
      <c r="A3" s="72"/>
      <c r="B3" s="72" t="s">
        <v>138</v>
      </c>
      <c r="C3" s="98">
        <v>44712</v>
      </c>
      <c r="D3" s="98">
        <v>45077</v>
      </c>
      <c r="E3" s="98">
        <v>45443</v>
      </c>
      <c r="F3" s="98">
        <v>45808</v>
      </c>
      <c r="G3" s="98">
        <v>46173</v>
      </c>
      <c r="H3" s="98">
        <v>46538</v>
      </c>
      <c r="I3" s="98">
        <v>46904</v>
      </c>
      <c r="J3" s="98">
        <v>47269</v>
      </c>
      <c r="K3" s="98">
        <v>47634</v>
      </c>
      <c r="L3" s="72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spans="1:26" x14ac:dyDescent="0.2">
      <c r="A4" s="72"/>
      <c r="B4" s="73" t="s">
        <v>139</v>
      </c>
      <c r="C4" s="74">
        <f>Model!N2</f>
        <v>2022</v>
      </c>
      <c r="D4" s="74">
        <f>Model!O2</f>
        <v>2023</v>
      </c>
      <c r="E4" s="74">
        <f>Model!P2</f>
        <v>2024</v>
      </c>
      <c r="F4" s="74">
        <f>Model!Q2</f>
        <v>2025</v>
      </c>
      <c r="G4" s="74">
        <f>Model!R2</f>
        <v>2026</v>
      </c>
      <c r="H4" s="74">
        <f>Model!S2</f>
        <v>2027</v>
      </c>
      <c r="I4" s="74">
        <f>Model!T2</f>
        <v>2028</v>
      </c>
      <c r="J4" s="74">
        <f>Model!U2</f>
        <v>2029</v>
      </c>
      <c r="K4" s="74">
        <f>Model!V2</f>
        <v>2030</v>
      </c>
      <c r="L4" s="72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spans="1:26" x14ac:dyDescent="0.2">
      <c r="A5" s="72"/>
      <c r="B5" s="72" t="s">
        <v>12</v>
      </c>
      <c r="C5" s="75">
        <f>Model!N4</f>
        <v>4645714</v>
      </c>
      <c r="D5" s="75">
        <f>Model!O4</f>
        <v>3569399</v>
      </c>
      <c r="E5" s="75">
        <f>Model!P4</f>
        <v>3769506</v>
      </c>
      <c r="F5" s="75">
        <f>Model!Q4</f>
        <v>3718971</v>
      </c>
      <c r="G5" s="75">
        <f>Model!R4</f>
        <v>3942109.2600000002</v>
      </c>
      <c r="H5" s="75">
        <f>Model!S4</f>
        <v>4178635.8156000003</v>
      </c>
      <c r="I5" s="75">
        <f>Model!T4</f>
        <v>4429353.964536001</v>
      </c>
      <c r="J5" s="75">
        <f>Model!U4</f>
        <v>4695115.202408161</v>
      </c>
      <c r="K5" s="75">
        <f>Model!V4</f>
        <v>4976822.1145526506</v>
      </c>
      <c r="L5" s="72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spans="1:26" x14ac:dyDescent="0.2">
      <c r="A6" s="72"/>
      <c r="B6" s="77" t="s">
        <v>140</v>
      </c>
      <c r="C6" s="78"/>
      <c r="D6" s="79">
        <f t="shared" ref="D6:K6" si="0">D5/C5-1</f>
        <v>-0.23167913478961466</v>
      </c>
      <c r="E6" s="79">
        <f t="shared" si="0"/>
        <v>5.6061818810393627E-2</v>
      </c>
      <c r="F6" s="79">
        <f t="shared" si="0"/>
        <v>-1.3406265966946385E-2</v>
      </c>
      <c r="G6" s="79">
        <f t="shared" si="0"/>
        <v>6.0000000000000053E-2</v>
      </c>
      <c r="H6" s="79">
        <f t="shared" si="0"/>
        <v>6.0000000000000053E-2</v>
      </c>
      <c r="I6" s="79">
        <f t="shared" si="0"/>
        <v>6.0000000000000053E-2</v>
      </c>
      <c r="J6" s="79">
        <f t="shared" si="0"/>
        <v>6.0000000000000053E-2</v>
      </c>
      <c r="K6" s="79">
        <f t="shared" si="0"/>
        <v>6.0000000000000053E-2</v>
      </c>
      <c r="L6" s="72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spans="1:26" x14ac:dyDescent="0.2">
      <c r="A7" s="72"/>
      <c r="B7" s="78"/>
      <c r="C7" s="78"/>
      <c r="D7" s="78"/>
      <c r="E7" s="78"/>
      <c r="F7" s="78"/>
      <c r="G7" s="78"/>
      <c r="H7" s="78"/>
      <c r="I7" s="78"/>
      <c r="J7" s="78"/>
      <c r="K7" s="78"/>
      <c r="L7" s="72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spans="1:26" x14ac:dyDescent="0.2">
      <c r="A8" s="72"/>
      <c r="B8" s="72" t="s">
        <v>141</v>
      </c>
      <c r="C8" s="76">
        <f>Model!N52</f>
        <v>1524158</v>
      </c>
      <c r="D8" s="76">
        <f>Model!O52</f>
        <v>453553</v>
      </c>
      <c r="E8" s="76">
        <f>Model!P52</f>
        <v>668794</v>
      </c>
      <c r="F8" s="76">
        <f>Model!Q52</f>
        <v>506604</v>
      </c>
      <c r="G8" s="76">
        <f ca="1">Model!R52</f>
        <v>702484.07264999975</v>
      </c>
      <c r="H8" s="76">
        <f>Model!S52</f>
        <v>791017.02082499955</v>
      </c>
      <c r="I8" s="76">
        <f>Model!T52</f>
        <v>831665.62144790008</v>
      </c>
      <c r="J8" s="76">
        <f>Model!U52</f>
        <v>875664.84545541601</v>
      </c>
      <c r="K8" s="76">
        <f>Model!V52</f>
        <v>923213.73646090773</v>
      </c>
      <c r="L8" s="72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spans="1:26" x14ac:dyDescent="0.2">
      <c r="A9" s="72"/>
      <c r="B9" s="77" t="s">
        <v>142</v>
      </c>
      <c r="C9" s="79">
        <f t="shared" ref="C9:K9" si="1">C8/C5</f>
        <v>0.3280783104599207</v>
      </c>
      <c r="D9" s="79">
        <f t="shared" si="1"/>
        <v>0.12706704966298249</v>
      </c>
      <c r="E9" s="79">
        <f t="shared" si="1"/>
        <v>0.17742218741660049</v>
      </c>
      <c r="F9" s="79">
        <f t="shared" si="1"/>
        <v>0.13622155160661376</v>
      </c>
      <c r="G9" s="79">
        <f t="shared" ca="1" si="1"/>
        <v>0.17820005137300526</v>
      </c>
      <c r="H9" s="79">
        <f t="shared" si="1"/>
        <v>0.18930030175683527</v>
      </c>
      <c r="I9" s="79">
        <f t="shared" si="1"/>
        <v>0.1877622849983771</v>
      </c>
      <c r="J9" s="79">
        <f t="shared" si="1"/>
        <v>0.18650550789601089</v>
      </c>
      <c r="K9" s="79">
        <f t="shared" si="1"/>
        <v>0.18550265916906139</v>
      </c>
      <c r="L9" s="72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spans="1:26" x14ac:dyDescent="0.2">
      <c r="A10" s="72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2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spans="1:26" x14ac:dyDescent="0.2">
      <c r="A11" s="72"/>
      <c r="B11" s="72" t="s">
        <v>143</v>
      </c>
      <c r="C11" s="76">
        <f>Model!N14</f>
        <v>1226069</v>
      </c>
      <c r="D11" s="76">
        <f>Model!O14</f>
        <v>183168</v>
      </c>
      <c r="E11" s="76">
        <f>Model!P14</f>
        <v>417106</v>
      </c>
      <c r="F11" s="76">
        <f>Model!Q14</f>
        <v>288096</v>
      </c>
      <c r="G11" s="76">
        <f ca="1">Model!R14</f>
        <v>490992.15264999983</v>
      </c>
      <c r="H11" s="76">
        <f>Model!S14</f>
        <v>586388.75242499961</v>
      </c>
      <c r="I11" s="76">
        <f>Model!T14</f>
        <v>633753.19518390018</v>
      </c>
      <c r="J11" s="76">
        <f>Model!U14</f>
        <v>684324.9380367361</v>
      </c>
      <c r="K11" s="76">
        <f>Model!V14</f>
        <v>738307.38199499645</v>
      </c>
      <c r="L11" s="72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spans="1:26" x14ac:dyDescent="0.2">
      <c r="A12" s="72"/>
      <c r="B12" s="77" t="s">
        <v>142</v>
      </c>
      <c r="C12" s="79">
        <f t="shared" ref="C12:K12" si="2">C11/C5</f>
        <v>0.26391400762078765</v>
      </c>
      <c r="D12" s="79">
        <f t="shared" si="2"/>
        <v>5.1316201971256227E-2</v>
      </c>
      <c r="E12" s="79">
        <f t="shared" si="2"/>
        <v>0.11065269560520663</v>
      </c>
      <c r="F12" s="79">
        <f t="shared" si="2"/>
        <v>7.7466589548560616E-2</v>
      </c>
      <c r="G12" s="79">
        <f t="shared" ca="1" si="2"/>
        <v>0.1245506200530829</v>
      </c>
      <c r="H12" s="79">
        <f t="shared" si="2"/>
        <v>0.14033018867924518</v>
      </c>
      <c r="I12" s="79">
        <f t="shared" si="2"/>
        <v>0.14308027767888928</v>
      </c>
      <c r="J12" s="79">
        <f t="shared" si="2"/>
        <v>0.14575253397099619</v>
      </c>
      <c r="K12" s="79">
        <f t="shared" si="2"/>
        <v>0.14834916036804349</v>
      </c>
      <c r="L12" s="72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spans="1:26" x14ac:dyDescent="0.2">
      <c r="A13" s="72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2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spans="1:26" x14ac:dyDescent="0.2">
      <c r="A14" s="72"/>
      <c r="B14" s="72" t="s">
        <v>144</v>
      </c>
      <c r="C14" s="80">
        <f>C11*G15</f>
        <v>269735.18</v>
      </c>
      <c r="D14" s="80">
        <f t="shared" ref="D14:F14" si="3">D11*H15</f>
        <v>40296.959999999999</v>
      </c>
      <c r="E14" s="80">
        <f t="shared" si="3"/>
        <v>91763.32</v>
      </c>
      <c r="F14" s="80">
        <f t="shared" si="3"/>
        <v>63381.120000000003</v>
      </c>
      <c r="G14" s="75">
        <f t="shared" ref="G14:K14" ca="1" si="4">G11*(G15)</f>
        <v>108018.27358299996</v>
      </c>
      <c r="H14" s="75">
        <f t="shared" si="4"/>
        <v>129005.52553349991</v>
      </c>
      <c r="I14" s="75">
        <f t="shared" si="4"/>
        <v>139425.70294045805</v>
      </c>
      <c r="J14" s="75">
        <f t="shared" si="4"/>
        <v>150551.48636808194</v>
      </c>
      <c r="K14" s="75">
        <f t="shared" si="4"/>
        <v>162427.62403889923</v>
      </c>
      <c r="L14" s="72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spans="1:26" x14ac:dyDescent="0.2">
      <c r="A15" s="72"/>
      <c r="B15" s="77" t="s">
        <v>145</v>
      </c>
      <c r="C15" s="78"/>
      <c r="D15" s="78"/>
      <c r="E15" s="78"/>
      <c r="F15" s="78"/>
      <c r="G15" s="81">
        <f>Model!R53</f>
        <v>0.22</v>
      </c>
      <c r="H15" s="81">
        <f>Model!S53</f>
        <v>0.22</v>
      </c>
      <c r="I15" s="81">
        <f>Model!T53</f>
        <v>0.22</v>
      </c>
      <c r="J15" s="81">
        <f>Model!U53</f>
        <v>0.22</v>
      </c>
      <c r="K15" s="81">
        <f>Model!V53</f>
        <v>0.22</v>
      </c>
      <c r="L15" s="72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spans="1:26" x14ac:dyDescent="0.2">
      <c r="A16" s="72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2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spans="1:26" x14ac:dyDescent="0.2">
      <c r="A17" s="72"/>
      <c r="B17" s="72" t="s">
        <v>146</v>
      </c>
      <c r="C17" s="80">
        <f>C11-C14</f>
        <v>956333.82000000007</v>
      </c>
      <c r="D17" s="80">
        <f t="shared" ref="D17:F17" si="5">D11-D14</f>
        <v>142871.04000000001</v>
      </c>
      <c r="E17" s="80">
        <f t="shared" si="5"/>
        <v>325342.68</v>
      </c>
      <c r="F17" s="80">
        <f t="shared" si="5"/>
        <v>224714.88</v>
      </c>
      <c r="G17" s="75">
        <f t="shared" ref="G17:K17" ca="1" si="6">G11-G14</f>
        <v>382973.87906699989</v>
      </c>
      <c r="H17" s="75">
        <f t="shared" si="6"/>
        <v>457383.22689149971</v>
      </c>
      <c r="I17" s="75">
        <f t="shared" si="6"/>
        <v>494327.4922434421</v>
      </c>
      <c r="J17" s="75">
        <f t="shared" si="6"/>
        <v>533773.4516686541</v>
      </c>
      <c r="K17" s="75">
        <f t="shared" si="6"/>
        <v>575879.75795609725</v>
      </c>
      <c r="L17" s="72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spans="1:26" x14ac:dyDescent="0.2">
      <c r="A18" s="72"/>
      <c r="B18" s="72"/>
      <c r="C18" s="72"/>
      <c r="D18" s="72"/>
      <c r="E18" s="72"/>
      <c r="F18" s="72"/>
      <c r="G18" s="80"/>
      <c r="H18" s="80"/>
      <c r="I18" s="80"/>
      <c r="J18" s="80"/>
      <c r="K18" s="80"/>
      <c r="L18" s="72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spans="1:26" x14ac:dyDescent="0.2">
      <c r="A19" s="72"/>
      <c r="B19" s="72" t="s">
        <v>147</v>
      </c>
      <c r="C19" s="156">
        <f>(Model!N85-Model!N103)-(Model!M85-Model!M103)</f>
        <v>-27485</v>
      </c>
      <c r="D19" s="156">
        <f>(Model!O85-Model!O103)-(Model!N85-Model!N103)</f>
        <v>-300707</v>
      </c>
      <c r="E19" s="156">
        <f>(Model!P85-Model!P103)-(Model!O85-Model!O103)</f>
        <v>-258084</v>
      </c>
      <c r="F19" s="156">
        <f>(Model!Q85-Model!Q103)-(Model!P85-Model!P103)</f>
        <v>168146</v>
      </c>
      <c r="G19" s="76">
        <f>(Model!R85-Model!R103)-(Model!Q85-Model!Q103)</f>
        <v>24968.745000000112</v>
      </c>
      <c r="H19" s="76">
        <f>(Model!S85-Model!S103)-(Model!R85-Model!R103)</f>
        <v>25655.343624999747</v>
      </c>
      <c r="I19" s="76">
        <f>(Model!T85-Model!T103)-(Model!S85-Model!S103)</f>
        <v>26318.756145875202</v>
      </c>
      <c r="J19" s="76">
        <f>(Model!U85-Model!U103)-(Model!T85-Model!T103)</f>
        <v>26962.452933502616</v>
      </c>
      <c r="K19" s="76">
        <f>(Model!V85-Model!V103)-(Model!U85-Model!U103)</f>
        <v>27589.57696175715</v>
      </c>
      <c r="L19" s="72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spans="1:26" x14ac:dyDescent="0.2">
      <c r="A20" s="72"/>
      <c r="B20" s="72"/>
      <c r="C20" s="156"/>
      <c r="D20" s="156"/>
      <c r="E20" s="156"/>
      <c r="F20" s="156"/>
      <c r="G20" s="82"/>
      <c r="H20" s="82"/>
      <c r="I20" s="82"/>
      <c r="J20" s="82"/>
      <c r="K20" s="82"/>
      <c r="L20" s="72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spans="1:26" x14ac:dyDescent="0.2">
      <c r="A21" s="72"/>
      <c r="B21" s="72" t="s">
        <v>148</v>
      </c>
      <c r="C21" s="156">
        <f>Model!N158+Model!N159</f>
        <v>361415</v>
      </c>
      <c r="D21" s="156">
        <f>Model!O158+Model!O159</f>
        <v>338848</v>
      </c>
      <c r="E21" s="156">
        <f>Model!P158+Model!P159</f>
        <v>320933</v>
      </c>
      <c r="F21" s="156">
        <f>Model!Q158+Model!Q159</f>
        <v>296836</v>
      </c>
      <c r="G21" s="76">
        <f>Model!R158+Model!R159</f>
        <v>290603.19999999995</v>
      </c>
      <c r="H21" s="76">
        <f>Model!S158+Model!S159</f>
        <v>284530.66119999997</v>
      </c>
      <c r="I21" s="76">
        <f>Model!T158+Model!T159</f>
        <v>278613.84299199999</v>
      </c>
      <c r="J21" s="76">
        <f>Model!U158+Model!U159</f>
        <v>272848.33831396</v>
      </c>
      <c r="K21" s="76">
        <f>Model!V158+Model!V159</f>
        <v>267229.86967014399</v>
      </c>
      <c r="L21" s="72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spans="1:26" x14ac:dyDescent="0.2">
      <c r="A22" s="72"/>
      <c r="B22" s="72"/>
      <c r="C22" s="156"/>
      <c r="D22" s="156"/>
      <c r="E22" s="156"/>
      <c r="F22" s="156"/>
      <c r="G22" s="82"/>
      <c r="H22" s="82"/>
      <c r="I22" s="82"/>
      <c r="J22" s="82"/>
      <c r="K22" s="82"/>
      <c r="L22" s="72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spans="1:26" x14ac:dyDescent="0.2">
      <c r="A23" s="72"/>
      <c r="B23" s="72" t="s">
        <v>149</v>
      </c>
      <c r="C23" s="156">
        <f>Model!N179-Model!N181</f>
        <v>-213466</v>
      </c>
      <c r="D23" s="156">
        <f>Model!O179-Model!O181</f>
        <v>-158953</v>
      </c>
      <c r="E23" s="156">
        <f>Model!P179-Model!P181</f>
        <v>-44256</v>
      </c>
      <c r="F23" s="156">
        <f>Model!Q179-Model!Q181</f>
        <v>-136809</v>
      </c>
      <c r="G23" s="76">
        <f>Model!R179-Model!R181</f>
        <v>-136809</v>
      </c>
      <c r="H23" s="76">
        <f>Model!S179-Model!S181</f>
        <v>-136809</v>
      </c>
      <c r="I23" s="76">
        <f>Model!T179-Model!T181</f>
        <v>-136809</v>
      </c>
      <c r="J23" s="76">
        <f>Model!U179-Model!U181</f>
        <v>-136809</v>
      </c>
      <c r="K23" s="76">
        <f>Model!V179-Model!V181</f>
        <v>-136809</v>
      </c>
      <c r="L23" s="72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spans="1:26" x14ac:dyDescent="0.2">
      <c r="A24" s="72"/>
      <c r="B24" s="72"/>
      <c r="C24" s="72"/>
      <c r="D24" s="72"/>
      <c r="E24" s="72"/>
      <c r="F24" s="72"/>
      <c r="G24" s="80"/>
      <c r="H24" s="80"/>
      <c r="I24" s="80"/>
      <c r="J24" s="80"/>
      <c r="K24" s="80"/>
      <c r="L24" s="72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spans="1:26" x14ac:dyDescent="0.2">
      <c r="A25" s="72"/>
      <c r="B25" s="72" t="s">
        <v>150</v>
      </c>
      <c r="C25" s="80">
        <f>(C17+C19+C21+C23)</f>
        <v>1076797.82</v>
      </c>
      <c r="D25" s="80">
        <f t="shared" ref="D25:F25" si="7">(D17+D19+D21+D23)</f>
        <v>22059.040000000008</v>
      </c>
      <c r="E25" s="80">
        <f t="shared" si="7"/>
        <v>343935.68</v>
      </c>
      <c r="F25" s="80">
        <f t="shared" si="7"/>
        <v>552887.88</v>
      </c>
      <c r="G25" s="75">
        <f t="shared" ref="G25:K25" ca="1" si="8">G17+G19+G21+G23</f>
        <v>561736.82406699995</v>
      </c>
      <c r="H25" s="75">
        <f t="shared" si="8"/>
        <v>630760.23171649943</v>
      </c>
      <c r="I25" s="75">
        <f t="shared" si="8"/>
        <v>662451.09138131724</v>
      </c>
      <c r="J25" s="75">
        <f t="shared" si="8"/>
        <v>696775.24291611672</v>
      </c>
      <c r="K25" s="75">
        <f t="shared" si="8"/>
        <v>733890.20458799833</v>
      </c>
      <c r="L25" s="72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spans="1:26" x14ac:dyDescent="0.2">
      <c r="A26" s="72"/>
      <c r="B26" s="72"/>
      <c r="C26" s="72"/>
      <c r="D26" s="72"/>
      <c r="E26" s="72"/>
      <c r="F26" s="72"/>
      <c r="G26" s="80"/>
      <c r="H26" s="80"/>
      <c r="I26" s="80"/>
      <c r="J26" s="80"/>
      <c r="K26" s="80"/>
      <c r="L26" s="72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spans="1:26" x14ac:dyDescent="0.2">
      <c r="A27" s="72"/>
      <c r="B27" s="72" t="s">
        <v>151</v>
      </c>
      <c r="C27" s="72"/>
      <c r="D27" s="72"/>
      <c r="E27" s="72"/>
      <c r="F27" s="72"/>
      <c r="G27" s="75">
        <f t="shared" ref="G27:K27" ca="1" si="9">G25/(1+$C$31)^G28</f>
        <v>515190.85042466025</v>
      </c>
      <c r="H27" s="75">
        <f t="shared" si="9"/>
        <v>583053.38145592844</v>
      </c>
      <c r="I27" s="75">
        <f t="shared" si="9"/>
        <v>616733.12792368047</v>
      </c>
      <c r="J27" s="75">
        <f t="shared" si="9"/>
        <v>652911.55779368046</v>
      </c>
      <c r="K27" s="75">
        <f t="shared" si="9"/>
        <v>691759.59398953558</v>
      </c>
      <c r="L27" s="72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spans="1:26" x14ac:dyDescent="0.2">
      <c r="A28" s="72"/>
      <c r="B28" s="72" t="s">
        <v>152</v>
      </c>
      <c r="C28" s="72"/>
      <c r="D28" s="72"/>
      <c r="E28" s="72"/>
      <c r="F28" s="72"/>
      <c r="G28" s="83">
        <f>1/(1+$C$31)^1</f>
        <v>0.90925622840516451</v>
      </c>
      <c r="H28" s="83">
        <f>1/(1+$C$31)^2</f>
        <v>0.82674688889358472</v>
      </c>
      <c r="I28" s="83">
        <f>1/(1+$C$31)^3</f>
        <v>0.7517247580410843</v>
      </c>
      <c r="J28" s="83">
        <f>1/(1+$C$31)^4</f>
        <v>0.6835104182952213</v>
      </c>
      <c r="K28" s="83">
        <f>1/(1+$C$31)^5</f>
        <v>0.62148610501474921</v>
      </c>
      <c r="L28" s="72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spans="1:26" x14ac:dyDescent="0.2">
      <c r="A29" s="72"/>
      <c r="B29" s="72" t="s">
        <v>153</v>
      </c>
      <c r="C29" s="75">
        <f>I25</f>
        <v>662451.09138131724</v>
      </c>
      <c r="D29" s="72"/>
      <c r="E29" s="72"/>
      <c r="F29" s="72"/>
      <c r="G29" s="72"/>
      <c r="H29" s="72"/>
      <c r="I29" s="72"/>
      <c r="J29" s="72"/>
      <c r="K29" s="72"/>
      <c r="L29" s="72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spans="1:26" x14ac:dyDescent="0.2">
      <c r="A30" s="72"/>
      <c r="B30" s="72" t="s">
        <v>154</v>
      </c>
      <c r="C30" s="75">
        <f>J25</f>
        <v>696775.24291611672</v>
      </c>
      <c r="D30" s="72"/>
      <c r="E30" s="72"/>
      <c r="F30" s="72"/>
      <c r="G30" s="72"/>
      <c r="H30" s="72"/>
      <c r="I30" s="72"/>
      <c r="J30" s="72"/>
      <c r="K30" s="72"/>
      <c r="L30" s="72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spans="1:26" x14ac:dyDescent="0.2">
      <c r="A31" s="72"/>
      <c r="B31" s="72" t="s">
        <v>155</v>
      </c>
      <c r="C31" s="84">
        <v>9.98E-2</v>
      </c>
      <c r="D31" s="72"/>
      <c r="E31" s="72"/>
      <c r="F31" s="72"/>
      <c r="G31" s="72"/>
      <c r="H31" s="72"/>
      <c r="I31" s="72"/>
      <c r="J31" s="72"/>
      <c r="K31" s="72"/>
      <c r="L31" s="72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spans="1:26" x14ac:dyDescent="0.2">
      <c r="A32" s="72"/>
      <c r="B32" s="72" t="s">
        <v>156</v>
      </c>
      <c r="C32" s="85">
        <v>0.02</v>
      </c>
      <c r="D32" s="72"/>
      <c r="E32" s="72"/>
      <c r="F32" s="72"/>
      <c r="G32" s="72"/>
      <c r="H32" s="72"/>
      <c r="I32" s="72"/>
      <c r="J32" s="72"/>
      <c r="K32" s="72"/>
      <c r="L32" s="72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spans="1:26" x14ac:dyDescent="0.2">
      <c r="A33" s="72"/>
      <c r="B33" s="72" t="s">
        <v>157</v>
      </c>
      <c r="C33" s="75">
        <f>K25*(1+C32)/(C31-C32)</f>
        <v>9380551.487215016</v>
      </c>
      <c r="D33" s="72"/>
      <c r="E33" s="72"/>
      <c r="F33" s="72"/>
      <c r="G33" s="80"/>
      <c r="H33" s="72"/>
      <c r="I33" s="72"/>
      <c r="J33" s="72"/>
      <c r="K33" s="72"/>
      <c r="L33" s="72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spans="1:26" x14ac:dyDescent="0.2">
      <c r="A34" s="72"/>
      <c r="B34" s="72" t="s">
        <v>158</v>
      </c>
      <c r="C34" s="75">
        <f>C33/(1+C31)^K28</f>
        <v>8842039.9231745135</v>
      </c>
      <c r="D34" s="72"/>
      <c r="E34" s="72"/>
      <c r="F34" s="72"/>
      <c r="G34" s="80"/>
      <c r="H34" s="72"/>
      <c r="I34" s="72"/>
      <c r="J34" s="72"/>
      <c r="K34" s="72"/>
      <c r="L34" s="72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spans="1:26" x14ac:dyDescent="0.2">
      <c r="A35" s="72"/>
      <c r="B35" s="73" t="s">
        <v>159</v>
      </c>
      <c r="C35" s="86">
        <f ca="1">SUM(G27:K27)</f>
        <v>2820700.3856295208</v>
      </c>
      <c r="D35" s="72"/>
      <c r="E35" s="72"/>
      <c r="F35" s="128"/>
      <c r="G35" s="72"/>
      <c r="H35" s="72"/>
      <c r="I35" s="72"/>
      <c r="J35" s="72"/>
      <c r="K35" s="72"/>
      <c r="L35" s="72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spans="1:26" x14ac:dyDescent="0.2">
      <c r="A36" s="72"/>
      <c r="B36" s="87" t="s">
        <v>160</v>
      </c>
      <c r="C36" s="75">
        <f ca="1">SUM(C34:C35)</f>
        <v>10693809.037031624</v>
      </c>
      <c r="D36" s="72"/>
      <c r="E36" s="72"/>
      <c r="F36" s="72"/>
      <c r="G36" s="72"/>
      <c r="H36" s="72"/>
      <c r="I36" s="72"/>
      <c r="J36" s="72"/>
      <c r="K36" s="72"/>
      <c r="L36" s="72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spans="1:26" x14ac:dyDescent="0.2">
      <c r="A37" s="72"/>
      <c r="B37" s="88" t="s">
        <v>161</v>
      </c>
      <c r="C37" s="89">
        <f ca="1">C36/K8</f>
        <v>13.03949109322328</v>
      </c>
      <c r="D37" s="72"/>
      <c r="E37" s="72"/>
      <c r="F37" s="72"/>
      <c r="G37" s="72"/>
      <c r="H37" s="72"/>
      <c r="I37" s="72"/>
      <c r="J37" s="72"/>
      <c r="K37" s="72"/>
      <c r="L37" s="72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spans="1:26" x14ac:dyDescent="0.2">
      <c r="A38" s="72"/>
      <c r="B38" s="72" t="s">
        <v>162</v>
      </c>
      <c r="C38" s="90">
        <f>Model!Q78</f>
        <v>1021176</v>
      </c>
      <c r="D38" s="72"/>
      <c r="E38" s="72"/>
      <c r="F38" s="72"/>
      <c r="G38" s="72"/>
      <c r="H38" s="72"/>
      <c r="I38" s="72"/>
      <c r="J38" s="72"/>
      <c r="K38" s="72"/>
      <c r="L38" s="72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spans="1:26" x14ac:dyDescent="0.2">
      <c r="A39" s="72"/>
      <c r="B39" s="73" t="s">
        <v>163</v>
      </c>
      <c r="C39" s="91">
        <f>Model!Q104</f>
        <v>1549215</v>
      </c>
      <c r="D39" s="72"/>
      <c r="E39" s="72"/>
      <c r="F39" s="72"/>
      <c r="G39" s="72"/>
      <c r="H39" s="72"/>
      <c r="I39" s="72"/>
      <c r="J39" s="72"/>
      <c r="K39" s="72"/>
      <c r="L39" s="72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spans="1:26" x14ac:dyDescent="0.2">
      <c r="A40" s="72"/>
      <c r="B40" s="92" t="s">
        <v>164</v>
      </c>
      <c r="C40" s="93">
        <f>C39-C38</f>
        <v>528039</v>
      </c>
      <c r="D40" s="72"/>
      <c r="E40" s="72"/>
      <c r="F40" s="72"/>
      <c r="G40" s="72"/>
      <c r="H40" s="72"/>
      <c r="I40" s="72"/>
      <c r="J40" s="72"/>
      <c r="K40" s="72"/>
      <c r="L40" s="72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spans="1:26" x14ac:dyDescent="0.2">
      <c r="A41" s="72"/>
      <c r="B41" s="72" t="s">
        <v>165</v>
      </c>
      <c r="C41" s="94">
        <f ca="1">C36-C40</f>
        <v>10165770.037031624</v>
      </c>
      <c r="D41" s="72"/>
      <c r="E41" s="72"/>
      <c r="F41" s="72"/>
      <c r="G41" s="72"/>
      <c r="H41" s="72"/>
      <c r="I41" s="72"/>
      <c r="J41" s="72"/>
      <c r="K41" s="72"/>
      <c r="L41" s="72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26" x14ac:dyDescent="0.2">
      <c r="A42" s="72"/>
      <c r="B42" s="73" t="s">
        <v>166</v>
      </c>
      <c r="C42" s="95">
        <f>Model!Q63</f>
        <v>94920</v>
      </c>
      <c r="D42" s="72"/>
      <c r="E42" s="72"/>
      <c r="F42" s="72"/>
      <c r="G42" s="72"/>
      <c r="H42" s="72"/>
      <c r="I42" s="72"/>
      <c r="J42" s="72"/>
      <c r="K42" s="72"/>
      <c r="L42" s="72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 x14ac:dyDescent="0.2">
      <c r="A43" s="72"/>
      <c r="B43" s="72" t="s">
        <v>167</v>
      </c>
      <c r="C43" s="96">
        <f ca="1">C41/C42</f>
        <v>107.09829368975583</v>
      </c>
      <c r="D43" s="72"/>
      <c r="E43" s="72"/>
      <c r="F43" s="72"/>
      <c r="G43" s="72"/>
      <c r="H43" s="72"/>
      <c r="I43" s="72"/>
      <c r="J43" s="72"/>
      <c r="K43" s="72"/>
      <c r="L43" s="72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spans="1:26" x14ac:dyDescent="0.2">
      <c r="A44" s="72"/>
      <c r="B44" s="72" t="s">
        <v>168</v>
      </c>
      <c r="C44" s="97">
        <f ca="1">C43/Valuation!B2-1</f>
        <v>6.2791852838093298E-3</v>
      </c>
      <c r="D44" s="72"/>
      <c r="E44" s="72"/>
      <c r="F44" s="72"/>
      <c r="G44" s="72"/>
      <c r="H44" s="72"/>
      <c r="I44" s="72"/>
      <c r="J44" s="72"/>
      <c r="K44" s="72"/>
      <c r="L44" s="72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 x14ac:dyDescent="0.2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x14ac:dyDescent="0.2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x14ac:dyDescent="0.2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x14ac:dyDescent="0.2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x14ac:dyDescent="0.2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x14ac:dyDescent="0.2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x14ac:dyDescent="0.2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x14ac:dyDescent="0.2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x14ac:dyDescent="0.2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x14ac:dyDescent="0.2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x14ac:dyDescent="0.2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x14ac:dyDescent="0.2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x14ac:dyDescent="0.2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x14ac:dyDescent="0.2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x14ac:dyDescent="0.2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x14ac:dyDescent="0.2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x14ac:dyDescent="0.2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x14ac:dyDescent="0.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x14ac:dyDescent="0.2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x14ac:dyDescent="0.2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x14ac:dyDescent="0.2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x14ac:dyDescent="0.2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x14ac:dyDescent="0.2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x14ac:dyDescent="0.2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x14ac:dyDescent="0.2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x14ac:dyDescent="0.2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x14ac:dyDescent="0.2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x14ac:dyDescent="0.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 x14ac:dyDescent="0.2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x14ac:dyDescent="0.2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 x14ac:dyDescent="0.2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 x14ac:dyDescent="0.2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 x14ac:dyDescent="0.2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 x14ac:dyDescent="0.2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 x14ac:dyDescent="0.2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 x14ac:dyDescent="0.2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 x14ac:dyDescent="0.2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 x14ac:dyDescent="0.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x14ac:dyDescent="0.2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x14ac:dyDescent="0.2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x14ac:dyDescent="0.2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x14ac:dyDescent="0.2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x14ac:dyDescent="0.2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spans="1:26" x14ac:dyDescent="0.2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spans="1:26" x14ac:dyDescent="0.2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spans="1:26" x14ac:dyDescent="0.2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spans="1:26" x14ac:dyDescent="0.2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spans="1:26" x14ac:dyDescent="0.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spans="1:26" x14ac:dyDescent="0.2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 x14ac:dyDescent="0.2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spans="1:26" x14ac:dyDescent="0.2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spans="1:26" x14ac:dyDescent="0.2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 x14ac:dyDescent="0.2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spans="1:26" x14ac:dyDescent="0.2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spans="1:26" x14ac:dyDescent="0.2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spans="1:26" x14ac:dyDescent="0.2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 x14ac:dyDescent="0.2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spans="1:26" x14ac:dyDescent="0.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6" x14ac:dyDescent="0.2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6" x14ac:dyDescent="0.2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spans="1:26" x14ac:dyDescent="0.2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spans="1:26" x14ac:dyDescent="0.2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spans="1:26" x14ac:dyDescent="0.2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spans="1:26" x14ac:dyDescent="0.2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spans="1:26" x14ac:dyDescent="0.2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6" x14ac:dyDescent="0.2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6" x14ac:dyDescent="0.2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spans="1:26" x14ac:dyDescent="0.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spans="1:26" x14ac:dyDescent="0.2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spans="1:26" x14ac:dyDescent="0.2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spans="1:26" x14ac:dyDescent="0.2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spans="1:26" x14ac:dyDescent="0.2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spans="1:26" x14ac:dyDescent="0.2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spans="1:26" x14ac:dyDescent="0.2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spans="1:26" x14ac:dyDescent="0.2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spans="1:26" x14ac:dyDescent="0.2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spans="1:26" x14ac:dyDescent="0.2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spans="1:26" x14ac:dyDescent="0.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spans="1:26" x14ac:dyDescent="0.2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spans="1:26" x14ac:dyDescent="0.2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spans="1:26" x14ac:dyDescent="0.2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spans="1:26" x14ac:dyDescent="0.2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spans="1:26" x14ac:dyDescent="0.2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spans="1:26" x14ac:dyDescent="0.2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spans="1:26" x14ac:dyDescent="0.2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spans="1:26" x14ac:dyDescent="0.2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spans="1:26" x14ac:dyDescent="0.2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spans="1:26" x14ac:dyDescent="0.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spans="1:26" x14ac:dyDescent="0.2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spans="1:26" x14ac:dyDescent="0.2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spans="1:26" x14ac:dyDescent="0.2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spans="1:26" x14ac:dyDescent="0.2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spans="1:26" x14ac:dyDescent="0.2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spans="1:26" x14ac:dyDescent="0.2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spans="1:26" x14ac:dyDescent="0.2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spans="1:26" x14ac:dyDescent="0.2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spans="1:26" x14ac:dyDescent="0.2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spans="1:26" x14ac:dyDescent="0.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spans="1:26" x14ac:dyDescent="0.2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spans="1:26" x14ac:dyDescent="0.2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spans="1:26" x14ac:dyDescent="0.2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spans="1:26" x14ac:dyDescent="0.2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spans="1:26" x14ac:dyDescent="0.2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spans="1:26" x14ac:dyDescent="0.2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spans="1:26" x14ac:dyDescent="0.2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spans="1:26" x14ac:dyDescent="0.2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spans="1:26" x14ac:dyDescent="0.2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spans="1:26" x14ac:dyDescent="0.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spans="1:26" x14ac:dyDescent="0.2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spans="1:26" x14ac:dyDescent="0.2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spans="1:26" x14ac:dyDescent="0.2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spans="1:26" x14ac:dyDescent="0.2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spans="1:26" x14ac:dyDescent="0.2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spans="1:26" x14ac:dyDescent="0.2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spans="1:26" x14ac:dyDescent="0.2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spans="1:26" x14ac:dyDescent="0.2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spans="1:26" x14ac:dyDescent="0.2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spans="1:26" x14ac:dyDescent="0.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spans="1:26" x14ac:dyDescent="0.2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spans="1:26" x14ac:dyDescent="0.2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spans="1:26" x14ac:dyDescent="0.2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spans="1:26" x14ac:dyDescent="0.2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spans="1:26" x14ac:dyDescent="0.2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spans="1:26" x14ac:dyDescent="0.2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spans="1:26" x14ac:dyDescent="0.2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spans="1:26" x14ac:dyDescent="0.2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spans="1:26" x14ac:dyDescent="0.2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spans="1:26" x14ac:dyDescent="0.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spans="1:26" x14ac:dyDescent="0.2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spans="1:26" x14ac:dyDescent="0.2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spans="1:26" x14ac:dyDescent="0.2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spans="1:26" x14ac:dyDescent="0.2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spans="1:26" x14ac:dyDescent="0.2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spans="1:26" x14ac:dyDescent="0.2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spans="1:26" x14ac:dyDescent="0.2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spans="1:26" x14ac:dyDescent="0.2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spans="1:26" x14ac:dyDescent="0.2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spans="1:26" x14ac:dyDescent="0.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spans="1:26" x14ac:dyDescent="0.2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spans="1:26" x14ac:dyDescent="0.2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spans="1:26" x14ac:dyDescent="0.2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spans="1:26" x14ac:dyDescent="0.2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spans="1:26" x14ac:dyDescent="0.2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spans="1:26" x14ac:dyDescent="0.2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spans="1:26" x14ac:dyDescent="0.2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spans="1:26" x14ac:dyDescent="0.2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spans="1:26" x14ac:dyDescent="0.2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spans="1:26" x14ac:dyDescent="0.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spans="1:26" x14ac:dyDescent="0.2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x14ac:dyDescent="0.2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spans="1:26" x14ac:dyDescent="0.2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spans="1:26" x14ac:dyDescent="0.2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spans="1:26" x14ac:dyDescent="0.2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spans="1:26" x14ac:dyDescent="0.2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spans="1:26" x14ac:dyDescent="0.2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spans="1:26" x14ac:dyDescent="0.2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spans="1:26" x14ac:dyDescent="0.2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spans="1:26" x14ac:dyDescent="0.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spans="1:26" x14ac:dyDescent="0.2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spans="1:26" x14ac:dyDescent="0.2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spans="1:26" x14ac:dyDescent="0.2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spans="1:26" x14ac:dyDescent="0.2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spans="1:26" x14ac:dyDescent="0.2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spans="1:26" x14ac:dyDescent="0.2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spans="1:26" x14ac:dyDescent="0.2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spans="1:26" x14ac:dyDescent="0.2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spans="1:26" x14ac:dyDescent="0.2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spans="1:26" x14ac:dyDescent="0.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spans="1:26" x14ac:dyDescent="0.2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spans="1:26" x14ac:dyDescent="0.2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spans="1:26" x14ac:dyDescent="0.2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spans="1:26" x14ac:dyDescent="0.2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spans="1:26" x14ac:dyDescent="0.2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spans="1:26" x14ac:dyDescent="0.2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spans="1:26" x14ac:dyDescent="0.2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spans="1:26" x14ac:dyDescent="0.2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spans="1:26" x14ac:dyDescent="0.2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 x14ac:dyDescent="0.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x14ac:dyDescent="0.2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x14ac:dyDescent="0.2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x14ac:dyDescent="0.2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x14ac:dyDescent="0.2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x14ac:dyDescent="0.2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x14ac:dyDescent="0.2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x14ac:dyDescent="0.2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x14ac:dyDescent="0.2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x14ac:dyDescent="0.2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x14ac:dyDescent="0.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x14ac:dyDescent="0.2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x14ac:dyDescent="0.2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x14ac:dyDescent="0.2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x14ac:dyDescent="0.2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x14ac:dyDescent="0.2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x14ac:dyDescent="0.2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x14ac:dyDescent="0.2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x14ac:dyDescent="0.2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x14ac:dyDescent="0.2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x14ac:dyDescent="0.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x14ac:dyDescent="0.2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x14ac:dyDescent="0.2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x14ac:dyDescent="0.2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x14ac:dyDescent="0.2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x14ac:dyDescent="0.2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x14ac:dyDescent="0.2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x14ac:dyDescent="0.2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x14ac:dyDescent="0.2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x14ac:dyDescent="0.2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x14ac:dyDescent="0.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x14ac:dyDescent="0.2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x14ac:dyDescent="0.2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x14ac:dyDescent="0.2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x14ac:dyDescent="0.2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x14ac:dyDescent="0.2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x14ac:dyDescent="0.2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x14ac:dyDescent="0.2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x14ac:dyDescent="0.2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x14ac:dyDescent="0.2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x14ac:dyDescent="0.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x14ac:dyDescent="0.2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x14ac:dyDescent="0.2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x14ac:dyDescent="0.2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6" x14ac:dyDescent="0.2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x14ac:dyDescent="0.2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x14ac:dyDescent="0.2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spans="1:26" x14ac:dyDescent="0.2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spans="1:26" x14ac:dyDescent="0.2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spans="1:26" x14ac:dyDescent="0.2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spans="1:26" x14ac:dyDescent="0.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spans="1:26" x14ac:dyDescent="0.2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spans="1:26" x14ac:dyDescent="0.2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spans="1:26" x14ac:dyDescent="0.2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spans="1:26" x14ac:dyDescent="0.2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spans="1:26" x14ac:dyDescent="0.2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spans="1:26" x14ac:dyDescent="0.2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spans="1:26" x14ac:dyDescent="0.2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spans="1:26" x14ac:dyDescent="0.2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spans="1:26" x14ac:dyDescent="0.2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spans="1:26" x14ac:dyDescent="0.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spans="1:26" x14ac:dyDescent="0.2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x14ac:dyDescent="0.2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spans="1:26" x14ac:dyDescent="0.2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spans="1:26" x14ac:dyDescent="0.2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spans="1:26" x14ac:dyDescent="0.2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spans="1:26" x14ac:dyDescent="0.2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spans="1:26" x14ac:dyDescent="0.2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spans="1:26" x14ac:dyDescent="0.2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spans="1:26" x14ac:dyDescent="0.2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spans="1:26" x14ac:dyDescent="0.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spans="1:26" x14ac:dyDescent="0.2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spans="1:26" x14ac:dyDescent="0.2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spans="1:26" x14ac:dyDescent="0.2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spans="1:26" x14ac:dyDescent="0.2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spans="1:26" x14ac:dyDescent="0.2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spans="1:26" x14ac:dyDescent="0.2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spans="1:26" x14ac:dyDescent="0.2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spans="1:26" x14ac:dyDescent="0.2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spans="1:26" x14ac:dyDescent="0.2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spans="1:26" x14ac:dyDescent="0.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spans="1:26" x14ac:dyDescent="0.2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spans="1:26" x14ac:dyDescent="0.2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spans="1:26" x14ac:dyDescent="0.2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spans="1:26" x14ac:dyDescent="0.2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spans="1:26" x14ac:dyDescent="0.2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spans="1:26" x14ac:dyDescent="0.2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spans="1:26" x14ac:dyDescent="0.2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x14ac:dyDescent="0.2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x14ac:dyDescent="0.2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x14ac:dyDescent="0.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x14ac:dyDescent="0.2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x14ac:dyDescent="0.2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x14ac:dyDescent="0.2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x14ac:dyDescent="0.2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x14ac:dyDescent="0.2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x14ac:dyDescent="0.2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x14ac:dyDescent="0.2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x14ac:dyDescent="0.2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x14ac:dyDescent="0.2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x14ac:dyDescent="0.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x14ac:dyDescent="0.2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x14ac:dyDescent="0.2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x14ac:dyDescent="0.2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x14ac:dyDescent="0.2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x14ac:dyDescent="0.2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x14ac:dyDescent="0.2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x14ac:dyDescent="0.2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x14ac:dyDescent="0.2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x14ac:dyDescent="0.2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x14ac:dyDescent="0.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x14ac:dyDescent="0.2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x14ac:dyDescent="0.2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x14ac:dyDescent="0.2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x14ac:dyDescent="0.2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x14ac:dyDescent="0.2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x14ac:dyDescent="0.2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x14ac:dyDescent="0.2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x14ac:dyDescent="0.2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x14ac:dyDescent="0.2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x14ac:dyDescent="0.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x14ac:dyDescent="0.2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x14ac:dyDescent="0.2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x14ac:dyDescent="0.2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x14ac:dyDescent="0.2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x14ac:dyDescent="0.2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x14ac:dyDescent="0.2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x14ac:dyDescent="0.2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x14ac:dyDescent="0.2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x14ac:dyDescent="0.2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x14ac:dyDescent="0.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x14ac:dyDescent="0.2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x14ac:dyDescent="0.2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x14ac:dyDescent="0.2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x14ac:dyDescent="0.2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x14ac:dyDescent="0.2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x14ac:dyDescent="0.2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x14ac:dyDescent="0.2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x14ac:dyDescent="0.2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x14ac:dyDescent="0.2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x14ac:dyDescent="0.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x14ac:dyDescent="0.2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x14ac:dyDescent="0.2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x14ac:dyDescent="0.2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x14ac:dyDescent="0.2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x14ac:dyDescent="0.2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x14ac:dyDescent="0.2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x14ac:dyDescent="0.2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x14ac:dyDescent="0.2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x14ac:dyDescent="0.2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x14ac:dyDescent="0.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x14ac:dyDescent="0.2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x14ac:dyDescent="0.2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x14ac:dyDescent="0.2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x14ac:dyDescent="0.2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x14ac:dyDescent="0.2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x14ac:dyDescent="0.2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x14ac:dyDescent="0.2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x14ac:dyDescent="0.2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x14ac:dyDescent="0.2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x14ac:dyDescent="0.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x14ac:dyDescent="0.2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x14ac:dyDescent="0.2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x14ac:dyDescent="0.2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x14ac:dyDescent="0.2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x14ac:dyDescent="0.2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x14ac:dyDescent="0.2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x14ac:dyDescent="0.2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x14ac:dyDescent="0.2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x14ac:dyDescent="0.2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x14ac:dyDescent="0.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x14ac:dyDescent="0.2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x14ac:dyDescent="0.2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x14ac:dyDescent="0.2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x14ac:dyDescent="0.2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x14ac:dyDescent="0.2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x14ac:dyDescent="0.2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x14ac:dyDescent="0.2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x14ac:dyDescent="0.2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x14ac:dyDescent="0.2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x14ac:dyDescent="0.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x14ac:dyDescent="0.2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x14ac:dyDescent="0.2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x14ac:dyDescent="0.2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x14ac:dyDescent="0.2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x14ac:dyDescent="0.2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x14ac:dyDescent="0.2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x14ac:dyDescent="0.2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x14ac:dyDescent="0.2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x14ac:dyDescent="0.2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x14ac:dyDescent="0.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x14ac:dyDescent="0.2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x14ac:dyDescent="0.2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x14ac:dyDescent="0.2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x14ac:dyDescent="0.2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x14ac:dyDescent="0.2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x14ac:dyDescent="0.2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x14ac:dyDescent="0.2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x14ac:dyDescent="0.2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x14ac:dyDescent="0.2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x14ac:dyDescent="0.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x14ac:dyDescent="0.2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x14ac:dyDescent="0.2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x14ac:dyDescent="0.2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x14ac:dyDescent="0.2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x14ac:dyDescent="0.2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x14ac:dyDescent="0.2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x14ac:dyDescent="0.2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x14ac:dyDescent="0.2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x14ac:dyDescent="0.2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x14ac:dyDescent="0.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x14ac:dyDescent="0.2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x14ac:dyDescent="0.2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x14ac:dyDescent="0.2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x14ac:dyDescent="0.2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x14ac:dyDescent="0.2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x14ac:dyDescent="0.2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x14ac:dyDescent="0.2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x14ac:dyDescent="0.2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x14ac:dyDescent="0.2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x14ac:dyDescent="0.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x14ac:dyDescent="0.2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x14ac:dyDescent="0.2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x14ac:dyDescent="0.2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x14ac:dyDescent="0.2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x14ac:dyDescent="0.2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x14ac:dyDescent="0.2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x14ac:dyDescent="0.2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x14ac:dyDescent="0.2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x14ac:dyDescent="0.2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x14ac:dyDescent="0.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x14ac:dyDescent="0.2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x14ac:dyDescent="0.2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x14ac:dyDescent="0.2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x14ac:dyDescent="0.2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x14ac:dyDescent="0.2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x14ac:dyDescent="0.2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x14ac:dyDescent="0.2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x14ac:dyDescent="0.2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x14ac:dyDescent="0.2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x14ac:dyDescent="0.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x14ac:dyDescent="0.2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x14ac:dyDescent="0.2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x14ac:dyDescent="0.2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x14ac:dyDescent="0.2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x14ac:dyDescent="0.2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x14ac:dyDescent="0.2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x14ac:dyDescent="0.2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x14ac:dyDescent="0.2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x14ac:dyDescent="0.2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x14ac:dyDescent="0.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x14ac:dyDescent="0.2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x14ac:dyDescent="0.2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x14ac:dyDescent="0.2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x14ac:dyDescent="0.2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x14ac:dyDescent="0.2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x14ac:dyDescent="0.2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x14ac:dyDescent="0.2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x14ac:dyDescent="0.2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x14ac:dyDescent="0.2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x14ac:dyDescent="0.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x14ac:dyDescent="0.2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x14ac:dyDescent="0.2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x14ac:dyDescent="0.2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x14ac:dyDescent="0.2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x14ac:dyDescent="0.2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x14ac:dyDescent="0.2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x14ac:dyDescent="0.2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x14ac:dyDescent="0.2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x14ac:dyDescent="0.2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x14ac:dyDescent="0.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x14ac:dyDescent="0.2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x14ac:dyDescent="0.2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x14ac:dyDescent="0.2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x14ac:dyDescent="0.2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x14ac:dyDescent="0.2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x14ac:dyDescent="0.2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x14ac:dyDescent="0.2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x14ac:dyDescent="0.2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x14ac:dyDescent="0.2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x14ac:dyDescent="0.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x14ac:dyDescent="0.2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x14ac:dyDescent="0.2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x14ac:dyDescent="0.2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x14ac:dyDescent="0.2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x14ac:dyDescent="0.2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x14ac:dyDescent="0.2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x14ac:dyDescent="0.2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x14ac:dyDescent="0.2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x14ac:dyDescent="0.2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x14ac:dyDescent="0.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x14ac:dyDescent="0.2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x14ac:dyDescent="0.2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x14ac:dyDescent="0.2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x14ac:dyDescent="0.2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x14ac:dyDescent="0.2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x14ac:dyDescent="0.2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x14ac:dyDescent="0.2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x14ac:dyDescent="0.2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x14ac:dyDescent="0.2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x14ac:dyDescent="0.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x14ac:dyDescent="0.2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x14ac:dyDescent="0.2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x14ac:dyDescent="0.2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x14ac:dyDescent="0.2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x14ac:dyDescent="0.2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x14ac:dyDescent="0.2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x14ac:dyDescent="0.2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x14ac:dyDescent="0.2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x14ac:dyDescent="0.2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x14ac:dyDescent="0.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x14ac:dyDescent="0.2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x14ac:dyDescent="0.2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x14ac:dyDescent="0.2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x14ac:dyDescent="0.2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x14ac:dyDescent="0.2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x14ac:dyDescent="0.2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x14ac:dyDescent="0.2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x14ac:dyDescent="0.2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x14ac:dyDescent="0.2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x14ac:dyDescent="0.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x14ac:dyDescent="0.2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x14ac:dyDescent="0.2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x14ac:dyDescent="0.2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x14ac:dyDescent="0.2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x14ac:dyDescent="0.2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x14ac:dyDescent="0.2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x14ac:dyDescent="0.2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x14ac:dyDescent="0.2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x14ac:dyDescent="0.2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x14ac:dyDescent="0.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x14ac:dyDescent="0.2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x14ac:dyDescent="0.2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x14ac:dyDescent="0.2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x14ac:dyDescent="0.2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x14ac:dyDescent="0.2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x14ac:dyDescent="0.2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x14ac:dyDescent="0.2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x14ac:dyDescent="0.2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x14ac:dyDescent="0.2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x14ac:dyDescent="0.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x14ac:dyDescent="0.2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x14ac:dyDescent="0.2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x14ac:dyDescent="0.2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x14ac:dyDescent="0.2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x14ac:dyDescent="0.2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x14ac:dyDescent="0.2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x14ac:dyDescent="0.2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x14ac:dyDescent="0.2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x14ac:dyDescent="0.2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x14ac:dyDescent="0.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x14ac:dyDescent="0.2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x14ac:dyDescent="0.2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x14ac:dyDescent="0.2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x14ac:dyDescent="0.2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x14ac:dyDescent="0.2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x14ac:dyDescent="0.2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x14ac:dyDescent="0.2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x14ac:dyDescent="0.2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x14ac:dyDescent="0.2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x14ac:dyDescent="0.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x14ac:dyDescent="0.2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x14ac:dyDescent="0.2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x14ac:dyDescent="0.2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x14ac:dyDescent="0.2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x14ac:dyDescent="0.2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x14ac:dyDescent="0.2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x14ac:dyDescent="0.2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x14ac:dyDescent="0.2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x14ac:dyDescent="0.2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x14ac:dyDescent="0.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x14ac:dyDescent="0.2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x14ac:dyDescent="0.2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x14ac:dyDescent="0.2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x14ac:dyDescent="0.2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x14ac:dyDescent="0.2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x14ac:dyDescent="0.2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x14ac:dyDescent="0.2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x14ac:dyDescent="0.2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x14ac:dyDescent="0.2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x14ac:dyDescent="0.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x14ac:dyDescent="0.2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x14ac:dyDescent="0.2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x14ac:dyDescent="0.2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x14ac:dyDescent="0.2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x14ac:dyDescent="0.2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x14ac:dyDescent="0.2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x14ac:dyDescent="0.2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x14ac:dyDescent="0.2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x14ac:dyDescent="0.2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x14ac:dyDescent="0.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x14ac:dyDescent="0.2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x14ac:dyDescent="0.2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x14ac:dyDescent="0.2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x14ac:dyDescent="0.2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x14ac:dyDescent="0.2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x14ac:dyDescent="0.2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x14ac:dyDescent="0.2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x14ac:dyDescent="0.2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x14ac:dyDescent="0.2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x14ac:dyDescent="0.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x14ac:dyDescent="0.2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x14ac:dyDescent="0.2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x14ac:dyDescent="0.2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x14ac:dyDescent="0.2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x14ac:dyDescent="0.2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x14ac:dyDescent="0.2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x14ac:dyDescent="0.2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x14ac:dyDescent="0.2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x14ac:dyDescent="0.2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x14ac:dyDescent="0.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x14ac:dyDescent="0.2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x14ac:dyDescent="0.2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x14ac:dyDescent="0.2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x14ac:dyDescent="0.2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x14ac:dyDescent="0.2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x14ac:dyDescent="0.2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x14ac:dyDescent="0.2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x14ac:dyDescent="0.2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x14ac:dyDescent="0.2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x14ac:dyDescent="0.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x14ac:dyDescent="0.2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x14ac:dyDescent="0.2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x14ac:dyDescent="0.2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x14ac:dyDescent="0.2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x14ac:dyDescent="0.2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x14ac:dyDescent="0.2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x14ac:dyDescent="0.2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x14ac:dyDescent="0.2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x14ac:dyDescent="0.2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x14ac:dyDescent="0.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x14ac:dyDescent="0.2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x14ac:dyDescent="0.2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x14ac:dyDescent="0.2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x14ac:dyDescent="0.2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x14ac:dyDescent="0.2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x14ac:dyDescent="0.2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x14ac:dyDescent="0.2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x14ac:dyDescent="0.2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x14ac:dyDescent="0.2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x14ac:dyDescent="0.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x14ac:dyDescent="0.2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x14ac:dyDescent="0.2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x14ac:dyDescent="0.2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x14ac:dyDescent="0.2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x14ac:dyDescent="0.2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x14ac:dyDescent="0.2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x14ac:dyDescent="0.2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x14ac:dyDescent="0.2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x14ac:dyDescent="0.2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x14ac:dyDescent="0.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x14ac:dyDescent="0.2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x14ac:dyDescent="0.2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x14ac:dyDescent="0.2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x14ac:dyDescent="0.2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x14ac:dyDescent="0.2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x14ac:dyDescent="0.2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x14ac:dyDescent="0.2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x14ac:dyDescent="0.2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x14ac:dyDescent="0.2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x14ac:dyDescent="0.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x14ac:dyDescent="0.2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x14ac:dyDescent="0.2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x14ac:dyDescent="0.2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x14ac:dyDescent="0.2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x14ac:dyDescent="0.2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x14ac:dyDescent="0.2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x14ac:dyDescent="0.2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x14ac:dyDescent="0.2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x14ac:dyDescent="0.2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x14ac:dyDescent="0.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x14ac:dyDescent="0.2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x14ac:dyDescent="0.2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x14ac:dyDescent="0.2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x14ac:dyDescent="0.2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x14ac:dyDescent="0.2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x14ac:dyDescent="0.2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x14ac:dyDescent="0.2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x14ac:dyDescent="0.2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x14ac:dyDescent="0.2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x14ac:dyDescent="0.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x14ac:dyDescent="0.2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x14ac:dyDescent="0.2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x14ac:dyDescent="0.2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x14ac:dyDescent="0.2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x14ac:dyDescent="0.2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x14ac:dyDescent="0.2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x14ac:dyDescent="0.2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x14ac:dyDescent="0.2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x14ac:dyDescent="0.2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x14ac:dyDescent="0.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x14ac:dyDescent="0.2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x14ac:dyDescent="0.2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x14ac:dyDescent="0.2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x14ac:dyDescent="0.2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x14ac:dyDescent="0.2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x14ac:dyDescent="0.2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x14ac:dyDescent="0.2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x14ac:dyDescent="0.2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x14ac:dyDescent="0.2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x14ac:dyDescent="0.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x14ac:dyDescent="0.2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x14ac:dyDescent="0.2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x14ac:dyDescent="0.2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x14ac:dyDescent="0.2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x14ac:dyDescent="0.2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x14ac:dyDescent="0.2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x14ac:dyDescent="0.2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x14ac:dyDescent="0.2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x14ac:dyDescent="0.2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x14ac:dyDescent="0.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x14ac:dyDescent="0.2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x14ac:dyDescent="0.2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x14ac:dyDescent="0.2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x14ac:dyDescent="0.2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x14ac:dyDescent="0.2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x14ac:dyDescent="0.2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x14ac:dyDescent="0.2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x14ac:dyDescent="0.2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x14ac:dyDescent="0.2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x14ac:dyDescent="0.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x14ac:dyDescent="0.2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x14ac:dyDescent="0.2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x14ac:dyDescent="0.2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x14ac:dyDescent="0.2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x14ac:dyDescent="0.2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x14ac:dyDescent="0.2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x14ac:dyDescent="0.2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x14ac:dyDescent="0.2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x14ac:dyDescent="0.2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x14ac:dyDescent="0.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x14ac:dyDescent="0.2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x14ac:dyDescent="0.2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x14ac:dyDescent="0.2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x14ac:dyDescent="0.2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x14ac:dyDescent="0.2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x14ac:dyDescent="0.2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x14ac:dyDescent="0.2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x14ac:dyDescent="0.2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x14ac:dyDescent="0.2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x14ac:dyDescent="0.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x14ac:dyDescent="0.2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x14ac:dyDescent="0.2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x14ac:dyDescent="0.2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x14ac:dyDescent="0.2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x14ac:dyDescent="0.2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x14ac:dyDescent="0.2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x14ac:dyDescent="0.2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x14ac:dyDescent="0.2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x14ac:dyDescent="0.2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x14ac:dyDescent="0.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x14ac:dyDescent="0.2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x14ac:dyDescent="0.2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x14ac:dyDescent="0.2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x14ac:dyDescent="0.2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x14ac:dyDescent="0.2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x14ac:dyDescent="0.2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x14ac:dyDescent="0.2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x14ac:dyDescent="0.2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x14ac:dyDescent="0.2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x14ac:dyDescent="0.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x14ac:dyDescent="0.2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x14ac:dyDescent="0.2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x14ac:dyDescent="0.2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x14ac:dyDescent="0.2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x14ac:dyDescent="0.2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x14ac:dyDescent="0.2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x14ac:dyDescent="0.2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x14ac:dyDescent="0.2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x14ac:dyDescent="0.2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x14ac:dyDescent="0.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x14ac:dyDescent="0.2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x14ac:dyDescent="0.2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x14ac:dyDescent="0.2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x14ac:dyDescent="0.2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x14ac:dyDescent="0.2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x14ac:dyDescent="0.2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x14ac:dyDescent="0.2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x14ac:dyDescent="0.2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x14ac:dyDescent="0.2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x14ac:dyDescent="0.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x14ac:dyDescent="0.2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x14ac:dyDescent="0.2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x14ac:dyDescent="0.2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x14ac:dyDescent="0.2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x14ac:dyDescent="0.2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x14ac:dyDescent="0.2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x14ac:dyDescent="0.2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x14ac:dyDescent="0.2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x14ac:dyDescent="0.2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x14ac:dyDescent="0.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x14ac:dyDescent="0.2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x14ac:dyDescent="0.2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x14ac:dyDescent="0.2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x14ac:dyDescent="0.2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x14ac:dyDescent="0.2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x14ac:dyDescent="0.2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x14ac:dyDescent="0.2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x14ac:dyDescent="0.2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x14ac:dyDescent="0.2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x14ac:dyDescent="0.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x14ac:dyDescent="0.2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x14ac:dyDescent="0.2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x14ac:dyDescent="0.2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x14ac:dyDescent="0.2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x14ac:dyDescent="0.2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x14ac:dyDescent="0.2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x14ac:dyDescent="0.2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x14ac:dyDescent="0.2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x14ac:dyDescent="0.2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x14ac:dyDescent="0.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x14ac:dyDescent="0.2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x14ac:dyDescent="0.2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x14ac:dyDescent="0.2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x14ac:dyDescent="0.2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x14ac:dyDescent="0.2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x14ac:dyDescent="0.2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x14ac:dyDescent="0.2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x14ac:dyDescent="0.2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x14ac:dyDescent="0.2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x14ac:dyDescent="0.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x14ac:dyDescent="0.2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x14ac:dyDescent="0.2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x14ac:dyDescent="0.2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x14ac:dyDescent="0.2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x14ac:dyDescent="0.2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x14ac:dyDescent="0.2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x14ac:dyDescent="0.2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x14ac:dyDescent="0.2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x14ac:dyDescent="0.2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x14ac:dyDescent="0.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x14ac:dyDescent="0.2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x14ac:dyDescent="0.2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x14ac:dyDescent="0.2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x14ac:dyDescent="0.2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x14ac:dyDescent="0.2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x14ac:dyDescent="0.2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x14ac:dyDescent="0.2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x14ac:dyDescent="0.2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x14ac:dyDescent="0.2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x14ac:dyDescent="0.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x14ac:dyDescent="0.2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x14ac:dyDescent="0.2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x14ac:dyDescent="0.2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x14ac:dyDescent="0.2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x14ac:dyDescent="0.2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x14ac:dyDescent="0.2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x14ac:dyDescent="0.2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x14ac:dyDescent="0.2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x14ac:dyDescent="0.2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x14ac:dyDescent="0.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x14ac:dyDescent="0.2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x14ac:dyDescent="0.2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x14ac:dyDescent="0.2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x14ac:dyDescent="0.2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x14ac:dyDescent="0.2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x14ac:dyDescent="0.2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x14ac:dyDescent="0.2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x14ac:dyDescent="0.2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x14ac:dyDescent="0.2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x14ac:dyDescent="0.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x14ac:dyDescent="0.2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x14ac:dyDescent="0.2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x14ac:dyDescent="0.2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x14ac:dyDescent="0.2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x14ac:dyDescent="0.2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x14ac:dyDescent="0.2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x14ac:dyDescent="0.2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x14ac:dyDescent="0.2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x14ac:dyDescent="0.2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x14ac:dyDescent="0.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x14ac:dyDescent="0.2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x14ac:dyDescent="0.2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x14ac:dyDescent="0.2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x14ac:dyDescent="0.2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x14ac:dyDescent="0.2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x14ac:dyDescent="0.2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x14ac:dyDescent="0.2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x14ac:dyDescent="0.2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x14ac:dyDescent="0.2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x14ac:dyDescent="0.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x14ac:dyDescent="0.2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x14ac:dyDescent="0.2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x14ac:dyDescent="0.2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x14ac:dyDescent="0.2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x14ac:dyDescent="0.2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x14ac:dyDescent="0.2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x14ac:dyDescent="0.2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x14ac:dyDescent="0.2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x14ac:dyDescent="0.2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x14ac:dyDescent="0.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x14ac:dyDescent="0.2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x14ac:dyDescent="0.2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x14ac:dyDescent="0.2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x14ac:dyDescent="0.2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x14ac:dyDescent="0.2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x14ac:dyDescent="0.2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x14ac:dyDescent="0.2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x14ac:dyDescent="0.2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x14ac:dyDescent="0.2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x14ac:dyDescent="0.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x14ac:dyDescent="0.2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x14ac:dyDescent="0.2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x14ac:dyDescent="0.2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x14ac:dyDescent="0.2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x14ac:dyDescent="0.2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x14ac:dyDescent="0.2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x14ac:dyDescent="0.2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x14ac:dyDescent="0.2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x14ac:dyDescent="0.2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x14ac:dyDescent="0.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x14ac:dyDescent="0.2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x14ac:dyDescent="0.2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x14ac:dyDescent="0.2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x14ac:dyDescent="0.2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x14ac:dyDescent="0.2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x14ac:dyDescent="0.2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x14ac:dyDescent="0.2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x14ac:dyDescent="0.2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x14ac:dyDescent="0.2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x14ac:dyDescent="0.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x14ac:dyDescent="0.2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x14ac:dyDescent="0.2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x14ac:dyDescent="0.2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x14ac:dyDescent="0.2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x14ac:dyDescent="0.2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x14ac:dyDescent="0.2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x14ac:dyDescent="0.2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x14ac:dyDescent="0.2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x14ac:dyDescent="0.2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x14ac:dyDescent="0.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x14ac:dyDescent="0.2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x14ac:dyDescent="0.2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x14ac:dyDescent="0.2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x14ac:dyDescent="0.2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x14ac:dyDescent="0.2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x14ac:dyDescent="0.2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x14ac:dyDescent="0.2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x14ac:dyDescent="0.2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x14ac:dyDescent="0.2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x14ac:dyDescent="0.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x14ac:dyDescent="0.2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x14ac:dyDescent="0.2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x14ac:dyDescent="0.2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x14ac:dyDescent="0.2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x14ac:dyDescent="0.2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x14ac:dyDescent="0.2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x14ac:dyDescent="0.2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x14ac:dyDescent="0.2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x14ac:dyDescent="0.2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x14ac:dyDescent="0.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x14ac:dyDescent="0.2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x14ac:dyDescent="0.2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x14ac:dyDescent="0.2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x14ac:dyDescent="0.2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x14ac:dyDescent="0.2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x14ac:dyDescent="0.2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x14ac:dyDescent="0.2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x14ac:dyDescent="0.2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spans="1:26" x14ac:dyDescent="0.2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spans="1:26" x14ac:dyDescent="0.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spans="1:26" x14ac:dyDescent="0.2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spans="1:26" x14ac:dyDescent="0.2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spans="1:26" x14ac:dyDescent="0.2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spans="1:26" x14ac:dyDescent="0.2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spans="1:26" x14ac:dyDescent="0.2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spans="1:26" x14ac:dyDescent="0.2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spans="1:26" x14ac:dyDescent="0.2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spans="1:26" x14ac:dyDescent="0.2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spans="1:26" x14ac:dyDescent="0.2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spans="1:26" x14ac:dyDescent="0.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spans="1:26" x14ac:dyDescent="0.2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spans="1:26" x14ac:dyDescent="0.2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spans="1:26" x14ac:dyDescent="0.2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spans="1:26" x14ac:dyDescent="0.2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spans="1:26" x14ac:dyDescent="0.2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spans="1:26" x14ac:dyDescent="0.2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spans="1:26" x14ac:dyDescent="0.2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spans="1:26" x14ac:dyDescent="0.2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  <row r="1001" spans="1:26" x14ac:dyDescent="0.2">
      <c r="A1001" s="71"/>
      <c r="B1001" s="71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</row>
  </sheetData>
  <mergeCells count="1">
    <mergeCell ref="A1:K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1E26B-6E17-D640-A506-4DE3469B3D5C}">
  <dimension ref="A2:N22"/>
  <sheetViews>
    <sheetView workbookViewId="0">
      <selection activeCell="K17" sqref="K17"/>
    </sheetView>
  </sheetViews>
  <sheetFormatPr baseColWidth="10" defaultColWidth="11.5" defaultRowHeight="15" x14ac:dyDescent="0.2"/>
  <sheetData>
    <row r="2" spans="1:14" ht="19" x14ac:dyDescent="0.25">
      <c r="A2" s="101" t="s">
        <v>169</v>
      </c>
    </row>
    <row r="4" spans="1:14" x14ac:dyDescent="0.2">
      <c r="D4" s="102" t="s">
        <v>170</v>
      </c>
      <c r="I4" s="102" t="s">
        <v>171</v>
      </c>
      <c r="J4" s="102" t="s">
        <v>172</v>
      </c>
      <c r="M4" s="102" t="s">
        <v>143</v>
      </c>
    </row>
    <row r="5" spans="1:14" x14ac:dyDescent="0.2">
      <c r="C5" s="102" t="s">
        <v>173</v>
      </c>
      <c r="D5" s="102" t="s">
        <v>174</v>
      </c>
      <c r="E5" s="102" t="s">
        <v>170</v>
      </c>
      <c r="F5" s="102" t="s">
        <v>175</v>
      </c>
      <c r="G5" s="102" t="s">
        <v>175</v>
      </c>
      <c r="H5" s="102" t="s">
        <v>170</v>
      </c>
      <c r="I5" s="102" t="s">
        <v>176</v>
      </c>
      <c r="J5" s="102" t="s">
        <v>47</v>
      </c>
      <c r="K5" s="102" t="s">
        <v>177</v>
      </c>
      <c r="M5" s="102" t="s">
        <v>142</v>
      </c>
      <c r="N5" s="102" t="s">
        <v>178</v>
      </c>
    </row>
    <row r="6" spans="1:14" x14ac:dyDescent="0.2">
      <c r="A6" s="102" t="s">
        <v>179</v>
      </c>
      <c r="B6" s="102" t="s">
        <v>180</v>
      </c>
      <c r="C6" s="102" t="s">
        <v>181</v>
      </c>
      <c r="D6" s="102" t="s">
        <v>182</v>
      </c>
      <c r="E6" s="102" t="s">
        <v>183</v>
      </c>
      <c r="F6" s="102" t="s">
        <v>171</v>
      </c>
      <c r="G6" s="102" t="s">
        <v>184</v>
      </c>
      <c r="H6" s="102" t="s">
        <v>176</v>
      </c>
      <c r="I6" s="102" t="s">
        <v>185</v>
      </c>
      <c r="J6" s="102" t="s">
        <v>186</v>
      </c>
      <c r="K6" s="102" t="s">
        <v>186</v>
      </c>
      <c r="L6" s="102" t="s">
        <v>187</v>
      </c>
      <c r="M6" s="102" t="s">
        <v>188</v>
      </c>
      <c r="N6" s="102" t="s">
        <v>189</v>
      </c>
    </row>
    <row r="8" spans="1:14" x14ac:dyDescent="0.2">
      <c r="A8" t="s">
        <v>190</v>
      </c>
      <c r="B8" t="s">
        <v>191</v>
      </c>
      <c r="C8" s="103">
        <v>412.14</v>
      </c>
      <c r="D8" s="103">
        <v>1960</v>
      </c>
      <c r="E8" s="103">
        <v>2010</v>
      </c>
      <c r="F8" s="104">
        <v>0.79649999999999999</v>
      </c>
      <c r="G8" s="104">
        <v>0.1966</v>
      </c>
      <c r="H8" s="103">
        <v>68.28</v>
      </c>
      <c r="I8" s="105">
        <v>6.4299999999999996E-2</v>
      </c>
      <c r="J8">
        <v>53.92</v>
      </c>
      <c r="K8">
        <v>36.5</v>
      </c>
      <c r="L8">
        <v>22.7</v>
      </c>
      <c r="M8" s="105">
        <v>0.41839999999999999</v>
      </c>
      <c r="N8" s="110">
        <v>6.3E-3</v>
      </c>
    </row>
    <row r="9" spans="1:14" x14ac:dyDescent="0.2">
      <c r="A9" t="s">
        <v>192</v>
      </c>
      <c r="B9" t="s">
        <v>193</v>
      </c>
      <c r="C9" s="103">
        <v>238.16</v>
      </c>
      <c r="D9" s="103">
        <v>251</v>
      </c>
      <c r="E9" s="103">
        <v>256</v>
      </c>
      <c r="F9" s="104">
        <v>0.61609999999999998</v>
      </c>
      <c r="G9" s="104">
        <v>0.39229999999999998</v>
      </c>
      <c r="H9" s="103">
        <v>44.28</v>
      </c>
      <c r="I9" s="105">
        <v>0.1366</v>
      </c>
      <c r="J9">
        <v>20.7</v>
      </c>
      <c r="K9">
        <v>22.05</v>
      </c>
      <c r="L9">
        <v>22.38</v>
      </c>
      <c r="M9" s="105">
        <v>0.3009</v>
      </c>
      <c r="N9" s="105">
        <v>1.55E-2</v>
      </c>
    </row>
    <row r="10" spans="1:14" x14ac:dyDescent="0.2">
      <c r="A10" t="s">
        <v>194</v>
      </c>
      <c r="B10" t="s">
        <v>195</v>
      </c>
      <c r="C10" s="103">
        <v>397.07</v>
      </c>
      <c r="D10" s="103">
        <v>194</v>
      </c>
      <c r="E10" s="103">
        <v>198</v>
      </c>
      <c r="F10" s="104">
        <v>0.87360000000000004</v>
      </c>
      <c r="G10" s="104">
        <v>0.46410000000000001</v>
      </c>
      <c r="H10" s="103">
        <v>11.02</v>
      </c>
      <c r="I10" s="105">
        <v>0.1686</v>
      </c>
      <c r="J10">
        <v>31.9</v>
      </c>
      <c r="K10">
        <v>32.18</v>
      </c>
      <c r="L10">
        <v>29.96</v>
      </c>
      <c r="M10" s="105">
        <v>0.27489999999999998</v>
      </c>
      <c r="N10" s="105">
        <v>1.11E-2</v>
      </c>
    </row>
    <row r="11" spans="1:14" x14ac:dyDescent="0.2">
      <c r="A11" t="s">
        <v>196</v>
      </c>
      <c r="B11" t="s">
        <v>197</v>
      </c>
      <c r="C11" s="103">
        <v>22.5</v>
      </c>
      <c r="D11" s="103">
        <v>81.599999999999994</v>
      </c>
      <c r="E11" s="103">
        <v>77.7</v>
      </c>
      <c r="F11" s="104">
        <v>2.1779999999999999</v>
      </c>
      <c r="G11" s="104">
        <v>1.1780999999999999</v>
      </c>
      <c r="H11" s="103">
        <v>1743.35</v>
      </c>
      <c r="I11" s="105">
        <v>6.3E-2</v>
      </c>
      <c r="J11">
        <v>25.22</v>
      </c>
      <c r="K11" t="s">
        <v>80</v>
      </c>
      <c r="L11" t="s">
        <v>80</v>
      </c>
      <c r="M11" s="105">
        <v>0.17730000000000001</v>
      </c>
      <c r="N11" s="110">
        <v>8.8999999999999999E-3</v>
      </c>
    </row>
    <row r="12" spans="1:14" s="111" customFormat="1" ht="16" x14ac:dyDescent="0.2">
      <c r="B12" s="111" t="s">
        <v>198</v>
      </c>
      <c r="C12" s="112">
        <f>AVERAGE(C8:C11)</f>
        <v>267.46749999999997</v>
      </c>
      <c r="D12" s="112">
        <f t="shared" ref="D12:N12" si="0">AVERAGE(D8:D11)</f>
        <v>621.65</v>
      </c>
      <c r="E12" s="112">
        <f t="shared" si="0"/>
        <v>635.42499999999995</v>
      </c>
      <c r="F12" s="113">
        <f t="shared" si="0"/>
        <v>1.11605</v>
      </c>
      <c r="G12" s="113">
        <f t="shared" si="0"/>
        <v>0.55777499999999991</v>
      </c>
      <c r="H12" s="112">
        <f t="shared" si="0"/>
        <v>466.73249999999996</v>
      </c>
      <c r="I12" s="113">
        <f t="shared" si="0"/>
        <v>0.108125</v>
      </c>
      <c r="J12" s="112">
        <f t="shared" si="0"/>
        <v>32.935000000000002</v>
      </c>
      <c r="K12" s="112">
        <f>AVERAGE(K8:K10)</f>
        <v>30.243333333333329</v>
      </c>
      <c r="L12" s="112">
        <f t="shared" si="0"/>
        <v>25.013333333333332</v>
      </c>
      <c r="M12" s="114">
        <f t="shared" si="0"/>
        <v>0.292875</v>
      </c>
      <c r="N12" s="114">
        <f t="shared" si="0"/>
        <v>1.0449999999999999E-2</v>
      </c>
    </row>
    <row r="13" spans="1:14" s="111" customFormat="1" ht="16" x14ac:dyDescent="0.2">
      <c r="B13" s="111" t="s">
        <v>199</v>
      </c>
      <c r="C13" s="112">
        <f>MEDIAN(C8:C11)</f>
        <v>317.61500000000001</v>
      </c>
      <c r="D13" s="112">
        <f t="shared" ref="D13:N13" si="1">MEDIAN(D8:D11)</f>
        <v>222.5</v>
      </c>
      <c r="E13" s="112">
        <f t="shared" si="1"/>
        <v>227</v>
      </c>
      <c r="F13" s="114">
        <f t="shared" si="1"/>
        <v>0.83505000000000007</v>
      </c>
      <c r="G13" s="114">
        <f t="shared" si="1"/>
        <v>0.42820000000000003</v>
      </c>
      <c r="H13" s="112">
        <f t="shared" si="1"/>
        <v>56.28</v>
      </c>
      <c r="I13" s="114">
        <f t="shared" si="1"/>
        <v>0.10045</v>
      </c>
      <c r="J13" s="112">
        <f t="shared" si="1"/>
        <v>28.56</v>
      </c>
      <c r="K13" s="112">
        <f t="shared" si="1"/>
        <v>32.18</v>
      </c>
      <c r="L13" s="112">
        <f t="shared" si="1"/>
        <v>22.7</v>
      </c>
      <c r="M13" s="114">
        <f t="shared" si="1"/>
        <v>0.28789999999999999</v>
      </c>
      <c r="N13" s="114">
        <f t="shared" si="1"/>
        <v>0.01</v>
      </c>
    </row>
    <row r="15" spans="1:14" x14ac:dyDescent="0.2">
      <c r="A15" s="102" t="s">
        <v>200</v>
      </c>
      <c r="B15" s="102" t="s">
        <v>201</v>
      </c>
      <c r="C15" s="106">
        <v>106.43</v>
      </c>
      <c r="D15" s="106">
        <v>9.36</v>
      </c>
      <c r="E15" s="106">
        <v>9.6999999999999993</v>
      </c>
      <c r="F15" s="107">
        <v>-4.6100000000000002E-2</v>
      </c>
      <c r="G15" s="107">
        <v>-4.6100000000000002E-2</v>
      </c>
      <c r="H15" s="106">
        <v>3.67</v>
      </c>
      <c r="I15" s="108">
        <v>-1.2999999999999999E-2</v>
      </c>
      <c r="J15" s="102" t="s">
        <v>202</v>
      </c>
      <c r="K15" s="102" t="s">
        <v>203</v>
      </c>
      <c r="L15" s="102" t="s">
        <v>204</v>
      </c>
      <c r="M15" s="109">
        <v>0.128</v>
      </c>
      <c r="N15" s="109">
        <v>0</v>
      </c>
    </row>
    <row r="19" spans="1:9" ht="19" x14ac:dyDescent="0.25">
      <c r="A19" s="101" t="s">
        <v>205</v>
      </c>
    </row>
    <row r="20" spans="1:9" x14ac:dyDescent="0.2">
      <c r="A20" s="102" t="s">
        <v>138</v>
      </c>
      <c r="B20" s="102" t="s">
        <v>206</v>
      </c>
      <c r="C20" s="102" t="s">
        <v>207</v>
      </c>
      <c r="F20" s="102" t="s">
        <v>208</v>
      </c>
      <c r="I20" s="102" t="s">
        <v>209</v>
      </c>
    </row>
    <row r="21" spans="1:9" x14ac:dyDescent="0.2">
      <c r="A21" s="100">
        <v>45252</v>
      </c>
      <c r="B21" t="s">
        <v>210</v>
      </c>
      <c r="C21" t="s">
        <v>211</v>
      </c>
      <c r="F21" t="s">
        <v>212</v>
      </c>
      <c r="I21" t="s">
        <v>213</v>
      </c>
    </row>
    <row r="22" spans="1:9" x14ac:dyDescent="0.2">
      <c r="A22" s="100">
        <v>45938</v>
      </c>
      <c r="B22" t="s">
        <v>214</v>
      </c>
      <c r="C22" t="s">
        <v>215</v>
      </c>
      <c r="F22" t="s">
        <v>216</v>
      </c>
      <c r="I22" t="s">
        <v>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C006E-CEA3-3140-9880-69585CEC2F2D}">
  <dimension ref="A1:B28"/>
  <sheetViews>
    <sheetView showGridLines="0" zoomScale="130" zoomScaleNormal="130" workbookViewId="0">
      <selection activeCell="H24" sqref="H24"/>
    </sheetView>
  </sheetViews>
  <sheetFormatPr baseColWidth="10" defaultColWidth="11.5" defaultRowHeight="15" x14ac:dyDescent="0.2"/>
  <cols>
    <col min="2" max="2" width="19.33203125" bestFit="1" customWidth="1"/>
  </cols>
  <sheetData>
    <row r="1" spans="1:2" x14ac:dyDescent="0.2">
      <c r="A1" s="165" t="s">
        <v>218</v>
      </c>
      <c r="B1" s="166"/>
    </row>
    <row r="2" spans="1:2" x14ac:dyDescent="0.2">
      <c r="A2" t="s">
        <v>219</v>
      </c>
      <c r="B2" s="103">
        <v>106.43</v>
      </c>
    </row>
    <row r="3" spans="1:2" x14ac:dyDescent="0.2">
      <c r="A3" s="164" t="s">
        <v>220</v>
      </c>
      <c r="B3" s="164" t="s">
        <v>221</v>
      </c>
    </row>
    <row r="4" spans="1:2" x14ac:dyDescent="0.2">
      <c r="A4" s="102" t="s">
        <v>222</v>
      </c>
      <c r="B4" s="115">
        <v>9370000</v>
      </c>
    </row>
    <row r="5" spans="1:2" x14ac:dyDescent="0.2">
      <c r="A5" t="s">
        <v>162</v>
      </c>
      <c r="B5" s="115">
        <f>DCF!C38</f>
        <v>1021176</v>
      </c>
    </row>
    <row r="6" spans="1:2" x14ac:dyDescent="0.2">
      <c r="A6" s="164" t="s">
        <v>223</v>
      </c>
      <c r="B6" s="167">
        <f>DCF!C39</f>
        <v>1549215</v>
      </c>
    </row>
    <row r="7" spans="1:2" x14ac:dyDescent="0.2">
      <c r="A7" s="102" t="s">
        <v>224</v>
      </c>
      <c r="B7" s="115">
        <f>(B4-B5)+B6</f>
        <v>9898039</v>
      </c>
    </row>
    <row r="8" spans="1:2" x14ac:dyDescent="0.2">
      <c r="A8" s="102" t="s">
        <v>225</v>
      </c>
      <c r="B8">
        <f>DCF!F8</f>
        <v>506604</v>
      </c>
    </row>
    <row r="9" spans="1:2" x14ac:dyDescent="0.2">
      <c r="A9" t="s">
        <v>226</v>
      </c>
      <c r="B9" s="103">
        <f>(B7/B8)</f>
        <v>19.538019834032102</v>
      </c>
    </row>
    <row r="11" spans="1:2" x14ac:dyDescent="0.2">
      <c r="A11" s="102" t="s">
        <v>227</v>
      </c>
    </row>
    <row r="12" spans="1:2" x14ac:dyDescent="0.2">
      <c r="A12" t="s">
        <v>228</v>
      </c>
      <c r="B12">
        <f>DCF!H8</f>
        <v>791017.02082499955</v>
      </c>
    </row>
    <row r="13" spans="1:2" x14ac:dyDescent="0.2">
      <c r="A13" s="164" t="s">
        <v>229</v>
      </c>
      <c r="B13" s="168">
        <v>13</v>
      </c>
    </row>
    <row r="14" spans="1:2" x14ac:dyDescent="0.2">
      <c r="A14" t="s">
        <v>183</v>
      </c>
      <c r="B14" s="115">
        <f>B12*B13</f>
        <v>10283221.270724993</v>
      </c>
    </row>
    <row r="15" spans="1:2" x14ac:dyDescent="0.2">
      <c r="A15" s="164" t="s">
        <v>230</v>
      </c>
      <c r="B15" s="167">
        <f>(Model!S104+Model!S100)-Model!S78</f>
        <v>486783.48959999997</v>
      </c>
    </row>
    <row r="16" spans="1:2" x14ac:dyDescent="0.2">
      <c r="A16" t="s">
        <v>222</v>
      </c>
      <c r="B16" s="115">
        <f>(B14-B15)</f>
        <v>9796437.7811249942</v>
      </c>
    </row>
    <row r="17" spans="1:2" x14ac:dyDescent="0.2">
      <c r="A17" s="164" t="s">
        <v>220</v>
      </c>
      <c r="B17" s="164">
        <f>Model!S64</f>
        <v>92300</v>
      </c>
    </row>
    <row r="18" spans="1:2" x14ac:dyDescent="0.2">
      <c r="A18" s="102" t="s">
        <v>231</v>
      </c>
      <c r="B18" s="106">
        <f>B16/B17</f>
        <v>106.13692070557957</v>
      </c>
    </row>
    <row r="19" spans="1:2" x14ac:dyDescent="0.2">
      <c r="A19" t="s">
        <v>232</v>
      </c>
      <c r="B19" s="169">
        <f>B18/(B2-1)</f>
        <v>1.0067051190892493</v>
      </c>
    </row>
    <row r="20" spans="1:2" x14ac:dyDescent="0.2">
      <c r="A20" s="102" t="s">
        <v>233</v>
      </c>
      <c r="B20" s="107">
        <f>(1+B19)^(1/3)-1</f>
        <v>0.2613274661462075</v>
      </c>
    </row>
    <row r="22" spans="1:2" x14ac:dyDescent="0.2">
      <c r="A22" s="102" t="s">
        <v>234</v>
      </c>
      <c r="B22" s="116">
        <f ca="1">DCF!C43</f>
        <v>107.09829368975583</v>
      </c>
    </row>
    <row r="23" spans="1:2" x14ac:dyDescent="0.2">
      <c r="A23" t="s">
        <v>232</v>
      </c>
      <c r="B23" s="104">
        <f ca="1">B22/(B2-1)</f>
        <v>1.0158237094731655</v>
      </c>
    </row>
    <row r="24" spans="1:2" x14ac:dyDescent="0.2">
      <c r="A24" s="102" t="s">
        <v>233</v>
      </c>
      <c r="B24" s="107">
        <f ca="1">(1+B23)^(1/3)-1</f>
        <v>0.26323509589304606</v>
      </c>
    </row>
    <row r="26" spans="1:2" x14ac:dyDescent="0.2">
      <c r="A26" s="102" t="s">
        <v>235</v>
      </c>
      <c r="B26" s="116">
        <f ca="1">AVERAGE(B22,B18)</f>
        <v>101.5587668793145</v>
      </c>
    </row>
    <row r="27" spans="1:2" x14ac:dyDescent="0.2">
      <c r="A27" t="s">
        <v>232</v>
      </c>
      <c r="B27" s="104">
        <f ca="1">B26/(B2-1)</f>
        <v>0.9632814842010291</v>
      </c>
    </row>
    <row r="28" spans="1:2" x14ac:dyDescent="0.2">
      <c r="A28" s="102" t="s">
        <v>233</v>
      </c>
      <c r="B28" s="107">
        <f ca="1">(1+B27)^(1/3)-1</f>
        <v>0.25216297171345214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73EF-F6EA-0B43-B4AC-7A6F8CD2103E}">
  <dimension ref="A1:D24"/>
  <sheetViews>
    <sheetView showGridLines="0" tabSelected="1" workbookViewId="0">
      <selection sqref="A1:D23"/>
    </sheetView>
  </sheetViews>
  <sheetFormatPr baseColWidth="10" defaultColWidth="11.5" defaultRowHeight="15" x14ac:dyDescent="0.2"/>
  <cols>
    <col min="2" max="2" width="10.83203125" customWidth="1"/>
    <col min="3" max="3" width="11.33203125" customWidth="1"/>
    <col min="4" max="4" width="10.83203125" customWidth="1"/>
  </cols>
  <sheetData>
    <row r="1" spans="1:4" x14ac:dyDescent="0.2">
      <c r="A1" s="21"/>
      <c r="B1" s="170" t="s">
        <v>236</v>
      </c>
      <c r="C1" s="170" t="s">
        <v>237</v>
      </c>
      <c r="D1" s="170" t="s">
        <v>238</v>
      </c>
    </row>
    <row r="2" spans="1:4" x14ac:dyDescent="0.2">
      <c r="A2" s="21"/>
      <c r="B2" s="171" t="s">
        <v>239</v>
      </c>
      <c r="C2" s="171" t="s">
        <v>239</v>
      </c>
      <c r="D2" s="171" t="s">
        <v>239</v>
      </c>
    </row>
    <row r="3" spans="1:4" x14ac:dyDescent="0.2">
      <c r="A3" s="118" t="s">
        <v>12</v>
      </c>
      <c r="B3" s="174">
        <f>Model!AA4</f>
        <v>4429353.964536001</v>
      </c>
      <c r="C3" s="174">
        <f>Model!AB4</f>
        <v>4650821.6627628012</v>
      </c>
      <c r="D3" s="174">
        <f>Model!AC4</f>
        <v>4296473.3455999205</v>
      </c>
    </row>
    <row r="4" spans="1:4" x14ac:dyDescent="0.2">
      <c r="A4" s="119" t="s">
        <v>240</v>
      </c>
      <c r="B4" s="123">
        <f>(Model!AA4-Model!Q$4)/Model!Q$4</f>
        <v>0.19101600000000027</v>
      </c>
      <c r="C4" s="123">
        <f>(Model!AB4-Model!Q$4)/Model!Q$4</f>
        <v>0.25056680000000031</v>
      </c>
      <c r="D4" s="123">
        <f>(Model!AC4-Model!Q$4)/Model!Q$4</f>
        <v>0.15528552000000012</v>
      </c>
    </row>
    <row r="5" spans="1:4" x14ac:dyDescent="0.2">
      <c r="A5" s="21"/>
      <c r="B5" s="21"/>
      <c r="C5" s="21"/>
      <c r="D5" s="21"/>
    </row>
    <row r="6" spans="1:4" x14ac:dyDescent="0.2">
      <c r="A6" s="118" t="s">
        <v>141</v>
      </c>
      <c r="B6" s="174">
        <f>Model!AA52</f>
        <v>667961.56246547797</v>
      </c>
      <c r="C6" s="174">
        <f>Model!AB52</f>
        <v>930164.33255256026</v>
      </c>
      <c r="D6" s="174">
        <f>Model!AC52</f>
        <v>386682.60110399284</v>
      </c>
    </row>
    <row r="7" spans="1:4" x14ac:dyDescent="0.2">
      <c r="A7" s="119" t="s">
        <v>142</v>
      </c>
      <c r="B7" s="124">
        <f>B6/B$3</f>
        <v>0.15080338302460561</v>
      </c>
      <c r="C7" s="124">
        <f t="shared" ref="C7:D7" si="0">C6/C$3</f>
        <v>0.2</v>
      </c>
      <c r="D7" s="124">
        <f t="shared" si="0"/>
        <v>0.09</v>
      </c>
    </row>
    <row r="8" spans="1:4" x14ac:dyDescent="0.2">
      <c r="A8" s="21"/>
      <c r="B8" s="21"/>
      <c r="C8" s="21"/>
      <c r="D8" s="21"/>
    </row>
    <row r="9" spans="1:4" x14ac:dyDescent="0.2">
      <c r="A9" s="118" t="s">
        <v>241</v>
      </c>
      <c r="B9" s="174">
        <f>Model!AA176+Model!AA184</f>
        <v>1127323.1073306303</v>
      </c>
      <c r="C9" s="174">
        <f>Model!AB176+Model!AB184</f>
        <v>1555928.8995519646</v>
      </c>
      <c r="D9" s="174">
        <f>Model!AC176+Model!AC184</f>
        <v>852790.39170918369</v>
      </c>
    </row>
    <row r="10" spans="1:4" x14ac:dyDescent="0.2">
      <c r="A10" s="119" t="s">
        <v>142</v>
      </c>
      <c r="B10" s="124">
        <f>B9/B3</f>
        <v>0.25451185801736292</v>
      </c>
      <c r="C10" s="124">
        <f t="shared" ref="C10:D10" si="1">C9/C3</f>
        <v>0.33454925008405323</v>
      </c>
      <c r="D10" s="124">
        <f t="shared" si="1"/>
        <v>0.19848613574724919</v>
      </c>
    </row>
    <row r="11" spans="1:4" x14ac:dyDescent="0.2">
      <c r="A11" s="119" t="s">
        <v>242</v>
      </c>
      <c r="B11" s="124">
        <f>B9/B6</f>
        <v>1.6877065548047809</v>
      </c>
      <c r="C11" s="124">
        <f t="shared" ref="C11:D11" si="2">C9/C6</f>
        <v>1.6727462504202661</v>
      </c>
      <c r="D11" s="124">
        <f t="shared" si="2"/>
        <v>2.2054015083027689</v>
      </c>
    </row>
    <row r="12" spans="1:4" x14ac:dyDescent="0.2">
      <c r="A12" s="21"/>
      <c r="B12" s="21"/>
      <c r="C12" s="21"/>
      <c r="D12" s="21"/>
    </row>
    <row r="13" spans="1:4" x14ac:dyDescent="0.2">
      <c r="A13" s="118" t="s">
        <v>243</v>
      </c>
      <c r="B13" s="172">
        <v>12</v>
      </c>
      <c r="C13" s="172">
        <v>15</v>
      </c>
      <c r="D13" s="172">
        <v>10</v>
      </c>
    </row>
    <row r="14" spans="1:4" x14ac:dyDescent="0.2">
      <c r="A14" s="118" t="s">
        <v>183</v>
      </c>
      <c r="B14" s="120">
        <f>B13*B6</f>
        <v>8015538.7495857356</v>
      </c>
      <c r="C14" s="120">
        <f t="shared" ref="C14:D14" si="3">C13*C6</f>
        <v>13952464.988288404</v>
      </c>
      <c r="D14" s="120">
        <f t="shared" si="3"/>
        <v>3866826.0110399285</v>
      </c>
    </row>
    <row r="15" spans="1:4" x14ac:dyDescent="0.2">
      <c r="A15" s="173" t="s">
        <v>230</v>
      </c>
      <c r="B15" s="175">
        <f>(Model!AA100+Model!AA104)-Model!AA78</f>
        <v>465534.8593919999</v>
      </c>
      <c r="C15" s="175">
        <f>(Model!AB100+Model!AB104)-Model!AB78</f>
        <v>422187.65376767982</v>
      </c>
      <c r="D15" s="175">
        <f>(Model!AC100+Model!AC104)-Model!AC78</f>
        <v>519718.86642239999</v>
      </c>
    </row>
    <row r="16" spans="1:4" x14ac:dyDescent="0.2">
      <c r="A16" s="118" t="s">
        <v>165</v>
      </c>
      <c r="B16" s="120">
        <f>B14-B15</f>
        <v>7550003.8901937362</v>
      </c>
      <c r="C16" s="120">
        <f t="shared" ref="C16:D16" si="4">C14-C15</f>
        <v>13530277.334520724</v>
      </c>
      <c r="D16" s="120">
        <f t="shared" si="4"/>
        <v>3347107.1446175287</v>
      </c>
    </row>
    <row r="17" spans="1:4" x14ac:dyDescent="0.2">
      <c r="A17" s="118" t="s">
        <v>244</v>
      </c>
      <c r="B17" s="21">
        <f>Model!AA63</f>
        <v>91000</v>
      </c>
      <c r="C17" s="21">
        <f>Model!AB63</f>
        <v>88270</v>
      </c>
      <c r="D17" s="21">
        <f>Model!AC63</f>
        <v>91910</v>
      </c>
    </row>
    <row r="18" spans="1:4" x14ac:dyDescent="0.2">
      <c r="A18" s="121" t="s">
        <v>245</v>
      </c>
      <c r="B18" s="125">
        <f>B16/B17</f>
        <v>82.967075716414683</v>
      </c>
      <c r="C18" s="125">
        <f t="shared" ref="C18:D18" si="5">C16/C17</f>
        <v>153.28285186949952</v>
      </c>
      <c r="D18" s="125">
        <f t="shared" si="5"/>
        <v>36.417224944157638</v>
      </c>
    </row>
    <row r="19" spans="1:4" x14ac:dyDescent="0.2">
      <c r="A19" s="21"/>
      <c r="B19" s="21"/>
      <c r="C19" s="21"/>
      <c r="D19" s="21"/>
    </row>
    <row r="20" spans="1:4" x14ac:dyDescent="0.2">
      <c r="A20" s="118" t="s">
        <v>168</v>
      </c>
      <c r="B20" s="123">
        <f>B18/Valuation!B$2-1</f>
        <v>-0.22045404757667308</v>
      </c>
      <c r="C20" s="123">
        <f>C18/Valuation!B$2-1</f>
        <v>0.44022222934792365</v>
      </c>
      <c r="D20" s="123">
        <f>D18/Valuation!B$2-1</f>
        <v>-0.6578293249632845</v>
      </c>
    </row>
    <row r="21" spans="1:4" x14ac:dyDescent="0.2">
      <c r="A21" s="121" t="s">
        <v>233</v>
      </c>
      <c r="B21" s="122">
        <f>(1+B20)^(1/3)-1</f>
        <v>-7.9662241051929872E-2</v>
      </c>
      <c r="C21" s="122">
        <f t="shared" ref="C21:D21" si="6">(1+C20)^(1/3)-1</f>
        <v>0.1293013221756083</v>
      </c>
      <c r="D21" s="122">
        <f t="shared" si="6"/>
        <v>-0.30056462194487044</v>
      </c>
    </row>
    <row r="22" spans="1:4" x14ac:dyDescent="0.2">
      <c r="A22" s="118" t="s">
        <v>246</v>
      </c>
      <c r="B22" s="126">
        <f>B20/$D$20</f>
        <v>0.33512347232160455</v>
      </c>
      <c r="C22" s="126">
        <f>C20/$D$20</f>
        <v>-0.66920432495540361</v>
      </c>
      <c r="D22" s="21"/>
    </row>
    <row r="24" spans="1:4" x14ac:dyDescent="0.2">
      <c r="C24" s="12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14E9-3E26-40A0-9338-50CF57A1A23B}">
  <dimension ref="A1:J31"/>
  <sheetViews>
    <sheetView showGridLines="0" topLeftCell="B1" workbookViewId="0">
      <selection sqref="A1:J31"/>
    </sheetView>
  </sheetViews>
  <sheetFormatPr baseColWidth="10" defaultColWidth="8.83203125" defaultRowHeight="15" x14ac:dyDescent="0.2"/>
  <cols>
    <col min="2" max="10" width="14.1640625" bestFit="1" customWidth="1"/>
  </cols>
  <sheetData>
    <row r="1" spans="1:10" x14ac:dyDescent="0.2">
      <c r="A1" s="129"/>
      <c r="B1" s="130">
        <f>Model!N2</f>
        <v>2022</v>
      </c>
      <c r="C1" s="130">
        <f>Model!O2</f>
        <v>2023</v>
      </c>
      <c r="D1" s="130">
        <f>Model!P2</f>
        <v>2024</v>
      </c>
      <c r="E1" s="130">
        <f>Model!Q2</f>
        <v>2025</v>
      </c>
      <c r="F1" s="130">
        <f>Model!R2</f>
        <v>2026</v>
      </c>
      <c r="G1" s="130">
        <f>Model!S2</f>
        <v>2027</v>
      </c>
      <c r="H1" s="130">
        <f>Model!T2</f>
        <v>2028</v>
      </c>
      <c r="I1" s="130">
        <f>Model!U2</f>
        <v>2029</v>
      </c>
      <c r="J1" s="130">
        <f>Model!V2</f>
        <v>2030</v>
      </c>
    </row>
    <row r="2" spans="1:10" x14ac:dyDescent="0.2">
      <c r="A2" s="131" t="s">
        <v>12</v>
      </c>
      <c r="B2" s="140">
        <f>Model!N4</f>
        <v>4645714</v>
      </c>
      <c r="C2" s="140">
        <f>Model!O4</f>
        <v>3569399</v>
      </c>
      <c r="D2" s="140">
        <f>Model!P4</f>
        <v>3769506</v>
      </c>
      <c r="E2" s="140">
        <f>Model!Q4</f>
        <v>3718971</v>
      </c>
      <c r="F2" s="140">
        <f>Model!R4</f>
        <v>3942109.2600000002</v>
      </c>
      <c r="G2" s="140">
        <f>Model!S4</f>
        <v>4178635.8156000003</v>
      </c>
      <c r="H2" s="140">
        <f>Model!T4</f>
        <v>4429353.964536001</v>
      </c>
      <c r="I2" s="140">
        <f>Model!U4</f>
        <v>4695115.202408161</v>
      </c>
      <c r="J2" s="140">
        <f>Model!V4</f>
        <v>4976822.1145526506</v>
      </c>
    </row>
    <row r="3" spans="1:10" x14ac:dyDescent="0.2">
      <c r="A3" s="133" t="s">
        <v>140</v>
      </c>
      <c r="B3" s="132"/>
      <c r="C3" s="139">
        <f>DCF!D6</f>
        <v>-0.23167913478961466</v>
      </c>
      <c r="D3" s="139">
        <f>DCF!E6</f>
        <v>5.6061818810393627E-2</v>
      </c>
      <c r="E3" s="139">
        <f>DCF!F6</f>
        <v>-1.3406265966946385E-2</v>
      </c>
      <c r="F3" s="139">
        <f>DCF!G6</f>
        <v>6.0000000000000053E-2</v>
      </c>
      <c r="G3" s="139">
        <f>DCF!H6</f>
        <v>6.0000000000000053E-2</v>
      </c>
      <c r="H3" s="139">
        <f>DCF!I6</f>
        <v>6.0000000000000053E-2</v>
      </c>
      <c r="I3" s="139">
        <f>DCF!J6</f>
        <v>6.0000000000000053E-2</v>
      </c>
      <c r="J3" s="139">
        <f>DCF!K6</f>
        <v>6.0000000000000053E-2</v>
      </c>
    </row>
    <row r="4" spans="1:10" x14ac:dyDescent="0.2">
      <c r="A4" s="134"/>
      <c r="B4" s="135"/>
      <c r="C4" s="135"/>
      <c r="D4" s="135"/>
      <c r="E4" s="136"/>
      <c r="F4" s="135"/>
      <c r="G4" s="135"/>
      <c r="H4" s="135"/>
      <c r="I4" s="135"/>
      <c r="J4" s="136"/>
    </row>
    <row r="5" spans="1:10" x14ac:dyDescent="0.2">
      <c r="A5" s="131" t="s">
        <v>247</v>
      </c>
      <c r="B5" s="140">
        <f>Model!N6</f>
        <v>2286168</v>
      </c>
      <c r="C5" s="140">
        <f>Model!O6</f>
        <v>1296942</v>
      </c>
      <c r="D5" s="140">
        <f>Model!P6</f>
        <v>1488495</v>
      </c>
      <c r="E5" s="140">
        <f>Model!Q6</f>
        <v>1535589</v>
      </c>
      <c r="F5" s="140">
        <f>Model!R6</f>
        <v>1773949.1669999999</v>
      </c>
      <c r="G5" s="140">
        <f>Model!S6</f>
        <v>1880386.1170199998</v>
      </c>
      <c r="H5" s="140">
        <f>Model!T6</f>
        <v>1993209.2840412003</v>
      </c>
      <c r="I5" s="140">
        <f>Model!U6</f>
        <v>2112801.8410836724</v>
      </c>
      <c r="J5" s="140">
        <f>Model!V6</f>
        <v>2239569.9515486928</v>
      </c>
    </row>
    <row r="6" spans="1:10" x14ac:dyDescent="0.2">
      <c r="A6" s="133" t="s">
        <v>142</v>
      </c>
      <c r="B6" s="139">
        <f>B$5/B2</f>
        <v>0.49210261329044364</v>
      </c>
      <c r="C6" s="139">
        <f t="shared" ref="C6:J6" si="0">C$5/C2</f>
        <v>0.36335024467704508</v>
      </c>
      <c r="D6" s="139">
        <f t="shared" si="0"/>
        <v>0.39487800258177064</v>
      </c>
      <c r="E6" s="139">
        <f t="shared" si="0"/>
        <v>0.41290695732771243</v>
      </c>
      <c r="F6" s="139">
        <f t="shared" si="0"/>
        <v>0.44999999999999996</v>
      </c>
      <c r="G6" s="139">
        <f t="shared" si="0"/>
        <v>0.4499999999999999</v>
      </c>
      <c r="H6" s="139">
        <f t="shared" si="0"/>
        <v>0.44999999999999996</v>
      </c>
      <c r="I6" s="139">
        <f t="shared" si="0"/>
        <v>0.44999999999999996</v>
      </c>
      <c r="J6" s="139">
        <f t="shared" si="0"/>
        <v>0.45</v>
      </c>
    </row>
    <row r="7" spans="1:10" x14ac:dyDescent="0.2">
      <c r="A7" s="134"/>
      <c r="B7" s="135"/>
      <c r="C7" s="135"/>
      <c r="D7" s="135"/>
      <c r="E7" s="136"/>
      <c r="F7" s="135"/>
      <c r="G7" s="135"/>
      <c r="H7" s="135"/>
      <c r="I7" s="135"/>
      <c r="J7" s="136"/>
    </row>
    <row r="8" spans="1:10" x14ac:dyDescent="0.2">
      <c r="A8" s="131" t="s">
        <v>248</v>
      </c>
      <c r="B8" s="138">
        <f>Model!N10</f>
        <v>349718</v>
      </c>
      <c r="C8" s="138">
        <f>Model!O10</f>
        <v>358790</v>
      </c>
      <c r="D8" s="138">
        <f>Model!P10</f>
        <v>389140</v>
      </c>
      <c r="E8" s="138">
        <f>Model!Q10</f>
        <v>403624</v>
      </c>
      <c r="F8" s="138">
        <f>Model!R10</f>
        <v>394210.92600000004</v>
      </c>
      <c r="G8" s="138">
        <f>Model!S10</f>
        <v>406037.25378000003</v>
      </c>
      <c r="H8" s="138">
        <f>Model!T10</f>
        <v>418218.37139340001</v>
      </c>
      <c r="I8" s="138">
        <f>Model!U10</f>
        <v>430764.922535202</v>
      </c>
      <c r="J8" s="138">
        <f>Model!V10</f>
        <v>443687.87021125806</v>
      </c>
    </row>
    <row r="9" spans="1:10" x14ac:dyDescent="0.2">
      <c r="A9" s="133" t="s">
        <v>142</v>
      </c>
      <c r="B9" s="139">
        <f>B$8/B2</f>
        <v>7.5277556905138807E-2</v>
      </c>
      <c r="C9" s="139">
        <f t="shared" ref="C9:J9" si="1">C$8/C2</f>
        <v>0.10051832255234004</v>
      </c>
      <c r="D9" s="139">
        <f t="shared" si="1"/>
        <v>0.10323368632388435</v>
      </c>
      <c r="E9" s="139">
        <f t="shared" si="1"/>
        <v>0.10853109637047452</v>
      </c>
      <c r="F9" s="139">
        <f t="shared" si="1"/>
        <v>0.1</v>
      </c>
      <c r="G9" s="139">
        <f t="shared" si="1"/>
        <v>9.7169811320754723E-2</v>
      </c>
      <c r="H9" s="139">
        <f t="shared" si="1"/>
        <v>9.4419722321110691E-2</v>
      </c>
      <c r="I9" s="139">
        <f t="shared" si="1"/>
        <v>9.1747466029003785E-2</v>
      </c>
      <c r="J9" s="139">
        <f t="shared" si="1"/>
        <v>8.9150839631956511E-2</v>
      </c>
    </row>
    <row r="10" spans="1:10" x14ac:dyDescent="0.2">
      <c r="A10" s="134"/>
      <c r="B10" s="135"/>
      <c r="C10" s="135"/>
      <c r="D10" s="135"/>
      <c r="E10" s="136"/>
      <c r="F10" s="135"/>
      <c r="G10" s="135"/>
      <c r="H10" s="135"/>
      <c r="I10" s="135"/>
      <c r="J10" s="136"/>
    </row>
    <row r="11" spans="1:10" x14ac:dyDescent="0.2">
      <c r="A11" s="131" t="s">
        <v>47</v>
      </c>
      <c r="B11" s="138">
        <f>DCF!C8</f>
        <v>1524158</v>
      </c>
      <c r="C11" s="138">
        <f>DCF!D8</f>
        <v>453553</v>
      </c>
      <c r="D11" s="138">
        <f>DCF!E8</f>
        <v>668794</v>
      </c>
      <c r="E11" s="138">
        <f>DCF!F8</f>
        <v>506604</v>
      </c>
      <c r="F11" s="141">
        <f>702484</f>
        <v>702484</v>
      </c>
      <c r="G11" s="138">
        <f>DCF!H8</f>
        <v>791017.02082499955</v>
      </c>
      <c r="H11" s="138">
        <f>DCF!I8</f>
        <v>831665.62144790008</v>
      </c>
      <c r="I11" s="138">
        <f>DCF!J8</f>
        <v>875664.84545541601</v>
      </c>
      <c r="J11" s="138">
        <f>DCF!K8</f>
        <v>923213.73646090773</v>
      </c>
    </row>
    <row r="12" spans="1:10" x14ac:dyDescent="0.2">
      <c r="A12" s="133" t="s">
        <v>142</v>
      </c>
      <c r="B12" s="139">
        <f>B$11/B2</f>
        <v>0.3280783104599207</v>
      </c>
      <c r="C12" s="139">
        <f t="shared" ref="C12:J12" si="2">C$11/C2</f>
        <v>0.12706704966298249</v>
      </c>
      <c r="D12" s="139">
        <f t="shared" si="2"/>
        <v>0.17742218741660049</v>
      </c>
      <c r="E12" s="139">
        <f t="shared" si="2"/>
        <v>0.13622155160661376</v>
      </c>
      <c r="F12" s="139">
        <f t="shared" si="2"/>
        <v>0.178200032943785</v>
      </c>
      <c r="G12" s="139">
        <f t="shared" si="2"/>
        <v>0.18930030175683527</v>
      </c>
      <c r="H12" s="139">
        <f t="shared" si="2"/>
        <v>0.1877622849983771</v>
      </c>
      <c r="I12" s="139">
        <f t="shared" si="2"/>
        <v>0.18650550789601089</v>
      </c>
      <c r="J12" s="139">
        <f t="shared" si="2"/>
        <v>0.18550265916906139</v>
      </c>
    </row>
    <row r="13" spans="1:10" x14ac:dyDescent="0.2">
      <c r="A13" s="134"/>
      <c r="B13" s="135"/>
      <c r="C13" s="135"/>
      <c r="D13" s="135"/>
      <c r="E13" s="136"/>
      <c r="F13" s="135"/>
      <c r="G13" s="135"/>
      <c r="H13" s="135"/>
      <c r="I13" s="135"/>
      <c r="J13" s="136"/>
    </row>
    <row r="14" spans="1:10" x14ac:dyDescent="0.2">
      <c r="A14" s="131" t="s">
        <v>148</v>
      </c>
      <c r="B14" s="140">
        <f>Model!N158+Model!N159</f>
        <v>361415</v>
      </c>
      <c r="C14" s="140">
        <f>Model!O158+Model!O159</f>
        <v>338848</v>
      </c>
      <c r="D14" s="140">
        <f>Model!P158+Model!P159</f>
        <v>320933</v>
      </c>
      <c r="E14" s="140">
        <f>Model!Q158+Model!Q159</f>
        <v>296836</v>
      </c>
      <c r="F14" s="140">
        <f>Model!R158+Model!R159</f>
        <v>290603.19999999995</v>
      </c>
      <c r="G14" s="140">
        <f>Model!S158+Model!S159</f>
        <v>284530.66119999997</v>
      </c>
      <c r="H14" s="140">
        <f>Model!T158+Model!T159</f>
        <v>278613.84299199999</v>
      </c>
      <c r="I14" s="140">
        <f>Model!U158+Model!U159</f>
        <v>272848.33831396</v>
      </c>
      <c r="J14" s="140">
        <f>Model!V158+Model!V159</f>
        <v>267229.86967014399</v>
      </c>
    </row>
    <row r="15" spans="1:10" x14ac:dyDescent="0.2">
      <c r="A15" s="133" t="s">
        <v>142</v>
      </c>
      <c r="B15" s="139">
        <f>B$14/B2</f>
        <v>7.779536148802961E-2</v>
      </c>
      <c r="C15" s="139">
        <f t="shared" ref="C15:J15" si="3">C$14/C2</f>
        <v>9.493138760895041E-2</v>
      </c>
      <c r="D15" s="139">
        <f t="shared" si="3"/>
        <v>8.5139272891461115E-2</v>
      </c>
      <c r="E15" s="139">
        <f t="shared" si="3"/>
        <v>7.9816701985576125E-2</v>
      </c>
      <c r="F15" s="139">
        <f t="shared" si="3"/>
        <v>7.3717692948977259E-2</v>
      </c>
      <c r="G15" s="139">
        <f t="shared" si="3"/>
        <v>6.8091758592066939E-2</v>
      </c>
      <c r="H15" s="139">
        <f t="shared" si="3"/>
        <v>6.2901688422904431E-2</v>
      </c>
      <c r="I15" s="139">
        <f t="shared" si="3"/>
        <v>5.8113236108458845E-2</v>
      </c>
      <c r="J15" s="139">
        <f t="shared" si="3"/>
        <v>5.3694880692790117E-2</v>
      </c>
    </row>
    <row r="16" spans="1:10" x14ac:dyDescent="0.2">
      <c r="A16" s="134"/>
      <c r="B16" s="135"/>
      <c r="C16" s="135"/>
      <c r="D16" s="135"/>
      <c r="E16" s="136"/>
      <c r="F16" s="135"/>
      <c r="G16" s="135"/>
      <c r="H16" s="135"/>
      <c r="I16" s="135"/>
      <c r="J16" s="136"/>
    </row>
    <row r="17" spans="1:10" x14ac:dyDescent="0.2">
      <c r="A17" s="131" t="s">
        <v>249</v>
      </c>
      <c r="B17" s="140">
        <f>Model!M14</f>
        <v>906627</v>
      </c>
      <c r="C17" s="140">
        <f>Model!N14</f>
        <v>1226069</v>
      </c>
      <c r="D17" s="140">
        <f>Model!O14</f>
        <v>183168</v>
      </c>
      <c r="E17" s="140">
        <f>Model!P14</f>
        <v>417106</v>
      </c>
      <c r="F17" s="140">
        <f>Model!Q14</f>
        <v>288096</v>
      </c>
      <c r="G17" s="140">
        <f ca="1">Model!R14</f>
        <v>906627</v>
      </c>
      <c r="H17" s="140">
        <f>Model!S14</f>
        <v>586388.75242499961</v>
      </c>
      <c r="I17" s="140">
        <f>Model!T14</f>
        <v>633753.19518390018</v>
      </c>
      <c r="J17" s="140">
        <f>Model!U14</f>
        <v>684324.9380367361</v>
      </c>
    </row>
    <row r="18" spans="1:10" x14ac:dyDescent="0.2">
      <c r="A18" s="133" t="s">
        <v>142</v>
      </c>
      <c r="B18" s="139">
        <f>B$17/B2</f>
        <v>0.19515342528618851</v>
      </c>
      <c r="C18" s="139">
        <f t="shared" ref="C18:J18" si="4">C$17/C2</f>
        <v>0.34349452106643164</v>
      </c>
      <c r="D18" s="139">
        <f t="shared" si="4"/>
        <v>4.8592043625875644E-2</v>
      </c>
      <c r="E18" s="139">
        <f t="shared" si="4"/>
        <v>0.11215629269494169</v>
      </c>
      <c r="F18" s="139">
        <f t="shared" si="4"/>
        <v>7.3081688253359062E-2</v>
      </c>
      <c r="G18" s="139">
        <f t="shared" ca="1" si="4"/>
        <v>0.19515342528618851</v>
      </c>
      <c r="H18" s="139">
        <f t="shared" si="4"/>
        <v>0.13238697045211809</v>
      </c>
      <c r="I18" s="139">
        <f t="shared" si="4"/>
        <v>0.13498139403668802</v>
      </c>
      <c r="J18" s="139">
        <f t="shared" si="4"/>
        <v>0.13750239053867563</v>
      </c>
    </row>
    <row r="19" spans="1:10" x14ac:dyDescent="0.2">
      <c r="A19" s="134"/>
      <c r="B19" s="135"/>
      <c r="C19" s="135"/>
      <c r="D19" s="135"/>
      <c r="E19" s="136"/>
      <c r="F19" s="135"/>
      <c r="G19" s="135"/>
      <c r="H19" s="135"/>
      <c r="I19" s="135"/>
      <c r="J19" s="136"/>
    </row>
    <row r="20" spans="1:10" x14ac:dyDescent="0.2">
      <c r="A20" s="131" t="s">
        <v>250</v>
      </c>
      <c r="B20" s="140">
        <f>Model!N16</f>
        <v>-63326</v>
      </c>
      <c r="C20" s="140">
        <f>Model!O16</f>
        <v>-68463</v>
      </c>
      <c r="D20" s="140">
        <f>Model!P16</f>
        <v>-69245</v>
      </c>
      <c r="E20" s="140">
        <f>Model!Q16</f>
        <v>-78328</v>
      </c>
      <c r="F20" s="140">
        <f>Model!R16</f>
        <v>-79111.28</v>
      </c>
      <c r="G20" s="140">
        <f>Model!S16</f>
        <v>-79902.392800000001</v>
      </c>
      <c r="H20" s="140">
        <f>Model!T16</f>
        <v>-80701.416727999997</v>
      </c>
      <c r="I20" s="140">
        <f>Model!U16</f>
        <v>-81508.430895279991</v>
      </c>
      <c r="J20" s="140">
        <f>Model!V16</f>
        <v>-82323.515204232797</v>
      </c>
    </row>
    <row r="21" spans="1:10" x14ac:dyDescent="0.2">
      <c r="A21" s="131" t="s">
        <v>251</v>
      </c>
      <c r="B21" s="142" t="str">
        <f>Model!N21</f>
        <v xml:space="preserve">1,181,084	</v>
      </c>
      <c r="C21" s="140">
        <f>Model!O21</f>
        <v>124629</v>
      </c>
      <c r="D21" s="140">
        <f>Model!P21</f>
        <v>73560</v>
      </c>
      <c r="E21" s="140">
        <f>Model!Q21</f>
        <v>65899</v>
      </c>
      <c r="F21" s="143">
        <v>411880.9</v>
      </c>
      <c r="G21" s="140">
        <f>Model!S21</f>
        <v>506486.35962499958</v>
      </c>
      <c r="H21" s="140">
        <f>Model!T21</f>
        <v>553051.77845590014</v>
      </c>
      <c r="I21" s="140">
        <f>Model!U21</f>
        <v>602816.50714145612</v>
      </c>
      <c r="J21" s="140">
        <f>Model!V21</f>
        <v>655983.86679076368</v>
      </c>
    </row>
    <row r="22" spans="1:10" x14ac:dyDescent="0.2">
      <c r="A22" s="134"/>
      <c r="B22" s="135"/>
      <c r="C22" s="135"/>
      <c r="D22" s="135"/>
      <c r="E22" s="136"/>
      <c r="F22" s="135"/>
      <c r="G22" s="135"/>
      <c r="H22" s="135"/>
      <c r="I22" s="135"/>
      <c r="J22" s="136"/>
    </row>
    <row r="23" spans="1:10" x14ac:dyDescent="0.2">
      <c r="A23" s="131" t="s">
        <v>144</v>
      </c>
      <c r="B23" s="144">
        <v>-147731</v>
      </c>
      <c r="C23" s="142">
        <f>Model!O23</f>
        <v>-21477</v>
      </c>
      <c r="D23" s="142">
        <f>Model!P23</f>
        <v>-143882</v>
      </c>
      <c r="E23" s="142">
        <f>Model!Q23</f>
        <v>-10284</v>
      </c>
      <c r="F23" s="144">
        <v>-90613.8</v>
      </c>
      <c r="G23" s="142">
        <f>Model!S23</f>
        <v>-111426.9991174999</v>
      </c>
      <c r="H23" s="142">
        <f>Model!T23</f>
        <v>-121671.39126029803</v>
      </c>
      <c r="I23" s="142">
        <f>Model!U23</f>
        <v>-132619.63157112035</v>
      </c>
      <c r="J23" s="142">
        <f>Model!V23</f>
        <v>-144316.45069396801</v>
      </c>
    </row>
    <row r="24" spans="1:10" x14ac:dyDescent="0.2">
      <c r="A24" s="131" t="s">
        <v>252</v>
      </c>
      <c r="B24" s="150">
        <v>1033353</v>
      </c>
      <c r="C24" s="148">
        <f>Model!O24</f>
        <v>103152</v>
      </c>
      <c r="D24" s="148">
        <f>Model!P24</f>
        <v>-70322</v>
      </c>
      <c r="E24" s="148">
        <f>Model!Q24</f>
        <v>55615</v>
      </c>
      <c r="F24" s="144">
        <v>321267.08066699986</v>
      </c>
      <c r="G24" s="148">
        <f>Model!S24</f>
        <v>395059.36050749966</v>
      </c>
      <c r="H24" s="148">
        <f>Model!T24</f>
        <v>431380.38719560212</v>
      </c>
      <c r="I24" s="148">
        <f>Model!U24</f>
        <v>470196.87557033577</v>
      </c>
      <c r="J24" s="148">
        <f>Model!V24</f>
        <v>511667.4160967957</v>
      </c>
    </row>
    <row r="25" spans="1:10" x14ac:dyDescent="0.2">
      <c r="A25" s="134"/>
      <c r="B25" s="149"/>
      <c r="C25" s="135"/>
      <c r="D25" s="135"/>
      <c r="E25" s="136"/>
      <c r="F25" s="135"/>
      <c r="G25" s="135"/>
      <c r="H25" s="135"/>
      <c r="I25" s="135"/>
      <c r="J25" s="136"/>
    </row>
    <row r="26" spans="1:10" x14ac:dyDescent="0.2">
      <c r="A26" s="131" t="s">
        <v>244</v>
      </c>
      <c r="B26" s="132">
        <v>92915</v>
      </c>
      <c r="C26" s="132">
        <v>98736</v>
      </c>
      <c r="D26" s="147" t="str">
        <f>Model!P63</f>
        <v>97,557 </v>
      </c>
      <c r="E26" s="147">
        <f>Model!Q63</f>
        <v>94920</v>
      </c>
      <c r="F26" s="147">
        <f>Model!R63</f>
        <v>93800</v>
      </c>
      <c r="G26" s="147">
        <f>Model!S63</f>
        <v>92300</v>
      </c>
      <c r="H26" s="147">
        <f>Model!T63</f>
        <v>91000</v>
      </c>
      <c r="I26" s="147">
        <f>Model!U63</f>
        <v>89500</v>
      </c>
      <c r="J26" s="147">
        <f>Model!V63</f>
        <v>88000</v>
      </c>
    </row>
    <row r="27" spans="1:10" x14ac:dyDescent="0.2">
      <c r="A27" s="131" t="s">
        <v>253</v>
      </c>
      <c r="B27" s="138">
        <f>Model!N57</f>
        <v>9.26</v>
      </c>
      <c r="C27" s="138">
        <f>Model!O57</f>
        <v>1</v>
      </c>
      <c r="D27" s="138">
        <f>Model!P57</f>
        <v>-0.72</v>
      </c>
      <c r="E27" s="138">
        <f>Model!Q57</f>
        <v>0.6</v>
      </c>
      <c r="F27" s="138">
        <f>Model!R57</f>
        <v>1.55</v>
      </c>
      <c r="G27" s="138">
        <f>Model!S57</f>
        <v>3.2</v>
      </c>
      <c r="H27" s="138">
        <f>Model!T57</f>
        <v>4.1500000000000004</v>
      </c>
      <c r="I27" s="138">
        <f>Model!U57</f>
        <v>4.6500000000000004</v>
      </c>
      <c r="J27" s="138">
        <f>Model!V57</f>
        <v>5.0999999999999996</v>
      </c>
    </row>
    <row r="28" spans="1:10" x14ac:dyDescent="0.2">
      <c r="A28" s="134"/>
      <c r="B28" s="135"/>
      <c r="C28" s="135"/>
      <c r="D28" s="135"/>
      <c r="E28" s="136"/>
      <c r="F28" s="135"/>
      <c r="G28" s="135"/>
      <c r="H28" s="135"/>
      <c r="I28" s="135"/>
      <c r="J28" s="136"/>
    </row>
    <row r="29" spans="1:10" x14ac:dyDescent="0.2">
      <c r="A29" s="131" t="s">
        <v>241</v>
      </c>
      <c r="B29" s="140">
        <f>DCF!C25</f>
        <v>1076797.82</v>
      </c>
      <c r="C29" s="140">
        <f>DCF!D25</f>
        <v>22059.040000000008</v>
      </c>
      <c r="D29" s="140">
        <f>DCF!E25</f>
        <v>343935.68</v>
      </c>
      <c r="E29" s="140">
        <f>DCF!F25</f>
        <v>552887.88</v>
      </c>
      <c r="F29" s="140">
        <v>561737</v>
      </c>
      <c r="G29" s="140">
        <f>DCF!H25</f>
        <v>630760.23171649943</v>
      </c>
      <c r="H29" s="140">
        <f>DCF!I25</f>
        <v>662451.09138131724</v>
      </c>
      <c r="I29" s="140">
        <f>DCF!J25</f>
        <v>696775.24291611672</v>
      </c>
      <c r="J29" s="140">
        <f>DCF!K25</f>
        <v>733890.20458799833</v>
      </c>
    </row>
    <row r="30" spans="1:10" x14ac:dyDescent="0.2">
      <c r="A30" s="134"/>
      <c r="B30" s="135"/>
      <c r="C30" s="135"/>
      <c r="D30" s="135"/>
      <c r="E30" s="136"/>
      <c r="F30" s="135"/>
      <c r="G30" s="135"/>
      <c r="H30" s="135"/>
      <c r="I30" s="135"/>
      <c r="J30" s="136"/>
    </row>
    <row r="31" spans="1:10" x14ac:dyDescent="0.2">
      <c r="A31" s="137" t="s">
        <v>254</v>
      </c>
      <c r="B31" s="157">
        <f>(Model!N104-Model!N78)/Model!N52</f>
        <v>0.70498334162206278</v>
      </c>
      <c r="C31" s="157">
        <f>(Model!O104-Model!O78)/Model!O52</f>
        <v>2.7324612559061454</v>
      </c>
      <c r="D31" s="157">
        <f>(Model!P104-Model!P78)/Model!P52</f>
        <v>0.77753987027395577</v>
      </c>
      <c r="E31" s="157">
        <f>(Model!Q104-Model!Q78)/Model!Q52</f>
        <v>1.0423111542743444</v>
      </c>
      <c r="F31" s="158">
        <f>0.72</f>
        <v>0.72</v>
      </c>
      <c r="G31" s="157">
        <f>(Model!S104-Model!S78)/Model!S52</f>
        <v>0.61538939970255502</v>
      </c>
      <c r="H31" s="157">
        <f>(Model!T104-Model!T78)/Model!T52</f>
        <v>0.5597620574739165</v>
      </c>
      <c r="I31" s="157">
        <f>(Model!U104-Model!U78)/Model!U52</f>
        <v>0.50688486454997106</v>
      </c>
      <c r="J31" s="157">
        <f>(Model!V104-Model!V78)/Model!V52</f>
        <v>0.45683265429759484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275DA-9D39-974D-97D6-835B1DC057AD}">
  <dimension ref="A2:C2868"/>
  <sheetViews>
    <sheetView showGridLines="0" workbookViewId="0">
      <selection activeCell="S10" sqref="S10"/>
    </sheetView>
  </sheetViews>
  <sheetFormatPr baseColWidth="10" defaultRowHeight="15" x14ac:dyDescent="0.2"/>
  <cols>
    <col min="1" max="1" width="12.83203125" style="159" customWidth="1"/>
    <col min="2" max="2" width="11.5" style="159" bestFit="1" customWidth="1"/>
  </cols>
  <sheetData>
    <row r="2" spans="1:3" ht="16" x14ac:dyDescent="0.2">
      <c r="A2" s="160" t="s">
        <v>138</v>
      </c>
      <c r="B2" s="160" t="s">
        <v>255</v>
      </c>
      <c r="C2" s="161"/>
    </row>
    <row r="3" spans="1:3" ht="18" x14ac:dyDescent="0.2">
      <c r="A3" s="163">
        <v>46169</v>
      </c>
      <c r="B3" s="162">
        <v>104.2</v>
      </c>
    </row>
    <row r="4" spans="1:3" ht="18" x14ac:dyDescent="0.2">
      <c r="A4" s="163">
        <v>46168</v>
      </c>
      <c r="B4" s="162">
        <v>108.23</v>
      </c>
    </row>
    <row r="5" spans="1:3" ht="18" x14ac:dyDescent="0.2">
      <c r="A5" s="163">
        <v>46164</v>
      </c>
      <c r="B5" s="162">
        <v>106.43</v>
      </c>
    </row>
    <row r="6" spans="1:3" ht="18" x14ac:dyDescent="0.2">
      <c r="A6" s="163">
        <v>46163</v>
      </c>
      <c r="B6" s="162">
        <v>97.74</v>
      </c>
    </row>
    <row r="7" spans="1:3" ht="18" x14ac:dyDescent="0.2">
      <c r="A7" s="163">
        <v>46162</v>
      </c>
      <c r="B7" s="162">
        <v>98.78</v>
      </c>
    </row>
    <row r="8" spans="1:3" ht="18" x14ac:dyDescent="0.2">
      <c r="A8" s="163">
        <v>46161</v>
      </c>
      <c r="B8" s="162">
        <v>94.57</v>
      </c>
    </row>
    <row r="9" spans="1:3" ht="18" x14ac:dyDescent="0.2">
      <c r="A9" s="163">
        <v>46160</v>
      </c>
      <c r="B9" s="162">
        <v>94.21</v>
      </c>
    </row>
    <row r="10" spans="1:3" ht="18" x14ac:dyDescent="0.2">
      <c r="A10" s="163">
        <v>46157</v>
      </c>
      <c r="B10" s="162">
        <v>92.25</v>
      </c>
    </row>
    <row r="11" spans="1:3" ht="18" x14ac:dyDescent="0.2">
      <c r="A11" s="163">
        <v>46156</v>
      </c>
      <c r="B11" s="162">
        <v>90.46</v>
      </c>
    </row>
    <row r="12" spans="1:3" ht="18" x14ac:dyDescent="0.2">
      <c r="A12" s="163">
        <v>46155</v>
      </c>
      <c r="B12" s="162">
        <v>91.51</v>
      </c>
    </row>
    <row r="13" spans="1:3" ht="18" x14ac:dyDescent="0.2">
      <c r="A13" s="163">
        <v>46154</v>
      </c>
      <c r="B13" s="162">
        <v>89.73</v>
      </c>
    </row>
    <row r="14" spans="1:3" ht="18" x14ac:dyDescent="0.2">
      <c r="A14" s="163">
        <v>46153</v>
      </c>
      <c r="B14" s="162">
        <v>93.41</v>
      </c>
    </row>
    <row r="15" spans="1:3" ht="18" x14ac:dyDescent="0.2">
      <c r="A15" s="163">
        <v>46150</v>
      </c>
      <c r="B15" s="162">
        <v>90.53</v>
      </c>
    </row>
    <row r="16" spans="1:3" ht="18" x14ac:dyDescent="0.2">
      <c r="A16" s="163">
        <v>46149</v>
      </c>
      <c r="B16" s="162">
        <v>88.97</v>
      </c>
    </row>
    <row r="17" spans="1:2" ht="18" x14ac:dyDescent="0.2">
      <c r="A17" s="163">
        <v>46148</v>
      </c>
      <c r="B17" s="162">
        <v>88.94</v>
      </c>
    </row>
    <row r="18" spans="1:2" ht="18" x14ac:dyDescent="0.2">
      <c r="A18" s="163">
        <v>46147</v>
      </c>
      <c r="B18" s="162">
        <v>96.35</v>
      </c>
    </row>
    <row r="19" spans="1:2" ht="18" x14ac:dyDescent="0.2">
      <c r="A19" s="163">
        <v>46146</v>
      </c>
      <c r="B19" s="162">
        <v>92.53</v>
      </c>
    </row>
    <row r="20" spans="1:2" ht="18" x14ac:dyDescent="0.2">
      <c r="A20" s="163">
        <v>46143</v>
      </c>
      <c r="B20" s="162">
        <v>93.5</v>
      </c>
    </row>
    <row r="21" spans="1:2" ht="18" x14ac:dyDescent="0.2">
      <c r="A21" s="163">
        <v>46142</v>
      </c>
      <c r="B21" s="162">
        <v>94.22</v>
      </c>
    </row>
    <row r="22" spans="1:2" ht="18" x14ac:dyDescent="0.2">
      <c r="A22" s="163">
        <v>46141</v>
      </c>
      <c r="B22" s="162">
        <v>86.48</v>
      </c>
    </row>
    <row r="23" spans="1:2" ht="18" x14ac:dyDescent="0.2">
      <c r="A23" s="163">
        <v>46140</v>
      </c>
      <c r="B23" s="162">
        <v>84.87</v>
      </c>
    </row>
    <row r="24" spans="1:2" ht="18" x14ac:dyDescent="0.2">
      <c r="A24" s="163">
        <v>46139</v>
      </c>
      <c r="B24" s="162">
        <v>85.84</v>
      </c>
    </row>
    <row r="25" spans="1:2" ht="18" x14ac:dyDescent="0.2">
      <c r="A25" s="163">
        <v>46136</v>
      </c>
      <c r="B25" s="162">
        <v>87.8</v>
      </c>
    </row>
    <row r="26" spans="1:2" ht="18" x14ac:dyDescent="0.2">
      <c r="A26" s="163">
        <v>46135</v>
      </c>
      <c r="B26" s="162">
        <v>84.65</v>
      </c>
    </row>
    <row r="27" spans="1:2" ht="18" x14ac:dyDescent="0.2">
      <c r="A27" s="163">
        <v>46134</v>
      </c>
      <c r="B27" s="162">
        <v>84.98</v>
      </c>
    </row>
    <row r="28" spans="1:2" ht="18" x14ac:dyDescent="0.2">
      <c r="A28" s="163">
        <v>46133</v>
      </c>
      <c r="B28" s="162">
        <v>83.09</v>
      </c>
    </row>
    <row r="29" spans="1:2" ht="18" x14ac:dyDescent="0.2">
      <c r="A29" s="163">
        <v>46132</v>
      </c>
      <c r="B29" s="162">
        <v>82.61</v>
      </c>
    </row>
    <row r="30" spans="1:2" ht="18" x14ac:dyDescent="0.2">
      <c r="A30" s="163">
        <v>46129</v>
      </c>
      <c r="B30" s="162">
        <v>81.900000000000006</v>
      </c>
    </row>
    <row r="31" spans="1:2" ht="18" x14ac:dyDescent="0.2">
      <c r="A31" s="163">
        <v>46128</v>
      </c>
      <c r="B31" s="162">
        <v>81.72</v>
      </c>
    </row>
    <row r="32" spans="1:2" ht="18" x14ac:dyDescent="0.2">
      <c r="A32" s="163">
        <v>46127</v>
      </c>
      <c r="B32" s="162">
        <v>81.19</v>
      </c>
    </row>
    <row r="33" spans="1:2" ht="18" x14ac:dyDescent="0.2">
      <c r="A33" s="163">
        <v>46126</v>
      </c>
      <c r="B33" s="162">
        <v>80.61</v>
      </c>
    </row>
    <row r="34" spans="1:2" ht="18" x14ac:dyDescent="0.2">
      <c r="A34" s="163">
        <v>46125</v>
      </c>
      <c r="B34" s="162">
        <v>79.77</v>
      </c>
    </row>
    <row r="35" spans="1:2" ht="18" x14ac:dyDescent="0.2">
      <c r="A35" s="163">
        <v>46122</v>
      </c>
      <c r="B35" s="162">
        <v>79.81</v>
      </c>
    </row>
    <row r="36" spans="1:2" ht="18" x14ac:dyDescent="0.2">
      <c r="A36" s="163">
        <v>46121</v>
      </c>
      <c r="B36" s="162">
        <v>79.83</v>
      </c>
    </row>
    <row r="37" spans="1:2" ht="18" x14ac:dyDescent="0.2">
      <c r="A37" s="163">
        <v>46120</v>
      </c>
      <c r="B37" s="162">
        <v>79.569999999999993</v>
      </c>
    </row>
    <row r="38" spans="1:2" ht="18" x14ac:dyDescent="0.2">
      <c r="A38" s="163">
        <v>46119</v>
      </c>
      <c r="B38" s="162">
        <v>77.78</v>
      </c>
    </row>
    <row r="39" spans="1:2" ht="18" x14ac:dyDescent="0.2">
      <c r="A39" s="163">
        <v>46118</v>
      </c>
      <c r="B39" s="162">
        <v>79.430000000000007</v>
      </c>
    </row>
    <row r="40" spans="1:2" ht="18" x14ac:dyDescent="0.2">
      <c r="A40" s="163">
        <v>46114</v>
      </c>
      <c r="B40" s="162">
        <v>78.7</v>
      </c>
    </row>
    <row r="41" spans="1:2" ht="18" x14ac:dyDescent="0.2">
      <c r="A41" s="163">
        <v>46113</v>
      </c>
      <c r="B41" s="162">
        <v>77.069999999999993</v>
      </c>
    </row>
    <row r="42" spans="1:2" ht="18" x14ac:dyDescent="0.2">
      <c r="A42" s="163">
        <v>46112</v>
      </c>
      <c r="B42" s="162">
        <v>77.400000000000006</v>
      </c>
    </row>
    <row r="43" spans="1:2" ht="18" x14ac:dyDescent="0.2">
      <c r="A43" s="163">
        <v>46111</v>
      </c>
      <c r="B43" s="162">
        <v>76.02</v>
      </c>
    </row>
    <row r="44" spans="1:2" ht="18" x14ac:dyDescent="0.2">
      <c r="A44" s="163">
        <v>46108</v>
      </c>
      <c r="B44" s="162">
        <v>77.349999999999994</v>
      </c>
    </row>
    <row r="45" spans="1:2" ht="18" x14ac:dyDescent="0.2">
      <c r="A45" s="163">
        <v>46107</v>
      </c>
      <c r="B45" s="162">
        <v>80.61</v>
      </c>
    </row>
    <row r="46" spans="1:2" ht="18" x14ac:dyDescent="0.2">
      <c r="A46" s="163">
        <v>46106</v>
      </c>
      <c r="B46" s="162">
        <v>80.739999999999995</v>
      </c>
    </row>
    <row r="47" spans="1:2" ht="18" x14ac:dyDescent="0.2">
      <c r="A47" s="163">
        <v>46105</v>
      </c>
      <c r="B47" s="162">
        <v>79.64</v>
      </c>
    </row>
    <row r="48" spans="1:2" ht="18" x14ac:dyDescent="0.2">
      <c r="A48" s="163">
        <v>46104</v>
      </c>
      <c r="B48" s="162">
        <v>78.760000000000005</v>
      </c>
    </row>
    <row r="49" spans="1:2" ht="18" x14ac:dyDescent="0.2">
      <c r="A49" s="163">
        <v>46101</v>
      </c>
      <c r="B49" s="162">
        <v>78.16</v>
      </c>
    </row>
    <row r="50" spans="1:2" ht="18" x14ac:dyDescent="0.2">
      <c r="A50" s="163">
        <v>46100</v>
      </c>
      <c r="B50" s="162">
        <v>77.739999999999995</v>
      </c>
    </row>
    <row r="51" spans="1:2" ht="18" x14ac:dyDescent="0.2">
      <c r="A51" s="163">
        <v>46099</v>
      </c>
      <c r="B51" s="162">
        <v>77.13</v>
      </c>
    </row>
    <row r="52" spans="1:2" ht="18" x14ac:dyDescent="0.2">
      <c r="A52" s="163">
        <v>46098</v>
      </c>
      <c r="B52" s="162">
        <v>77.959999999999994</v>
      </c>
    </row>
    <row r="53" spans="1:2" ht="18" x14ac:dyDescent="0.2">
      <c r="A53" s="163">
        <v>46097</v>
      </c>
      <c r="B53" s="162">
        <v>78.31</v>
      </c>
    </row>
    <row r="54" spans="1:2" ht="18" x14ac:dyDescent="0.2">
      <c r="A54" s="163">
        <v>46094</v>
      </c>
      <c r="B54" s="162">
        <v>78.12</v>
      </c>
    </row>
    <row r="55" spans="1:2" ht="18" x14ac:dyDescent="0.2">
      <c r="A55" s="163">
        <v>46093</v>
      </c>
      <c r="B55" s="162">
        <v>78.77</v>
      </c>
    </row>
    <row r="56" spans="1:2" ht="18" x14ac:dyDescent="0.2">
      <c r="A56" s="163">
        <v>46092</v>
      </c>
      <c r="B56" s="162">
        <v>78.63</v>
      </c>
    </row>
    <row r="57" spans="1:2" ht="18" x14ac:dyDescent="0.2">
      <c r="A57" s="163">
        <v>46091</v>
      </c>
      <c r="B57" s="162">
        <v>78.17</v>
      </c>
    </row>
    <row r="58" spans="1:2" ht="18" x14ac:dyDescent="0.2">
      <c r="A58" s="163">
        <v>46090</v>
      </c>
      <c r="B58" s="162">
        <v>78.040000000000006</v>
      </c>
    </row>
    <row r="59" spans="1:2" ht="18" x14ac:dyDescent="0.2">
      <c r="A59" s="163">
        <v>46087</v>
      </c>
      <c r="B59" s="162">
        <v>77.64</v>
      </c>
    </row>
    <row r="60" spans="1:2" ht="18" x14ac:dyDescent="0.2">
      <c r="A60" s="163">
        <v>46086</v>
      </c>
      <c r="B60" s="162">
        <v>79.41</v>
      </c>
    </row>
    <row r="61" spans="1:2" ht="18" x14ac:dyDescent="0.2">
      <c r="A61" s="163">
        <v>46085</v>
      </c>
      <c r="B61" s="162">
        <v>79.459999999999994</v>
      </c>
    </row>
    <row r="62" spans="1:2" ht="18" x14ac:dyDescent="0.2">
      <c r="A62" s="163">
        <v>46084</v>
      </c>
      <c r="B62" s="162">
        <v>81.27</v>
      </c>
    </row>
    <row r="63" spans="1:2" ht="18" x14ac:dyDescent="0.2">
      <c r="A63" s="163">
        <v>46083</v>
      </c>
      <c r="B63" s="162">
        <v>81.92</v>
      </c>
    </row>
    <row r="64" spans="1:2" ht="18" x14ac:dyDescent="0.2">
      <c r="A64" s="163">
        <v>46080</v>
      </c>
      <c r="B64" s="162">
        <v>82.9</v>
      </c>
    </row>
    <row r="65" spans="1:2" ht="18" x14ac:dyDescent="0.2">
      <c r="A65" s="163">
        <v>46079</v>
      </c>
      <c r="B65" s="162">
        <v>82.46</v>
      </c>
    </row>
    <row r="66" spans="1:2" ht="18" x14ac:dyDescent="0.2">
      <c r="A66" s="163">
        <v>46078</v>
      </c>
      <c r="B66" s="162">
        <v>82.36</v>
      </c>
    </row>
    <row r="67" spans="1:2" ht="18" x14ac:dyDescent="0.2">
      <c r="A67" s="163">
        <v>46077</v>
      </c>
      <c r="B67" s="162">
        <v>83.18</v>
      </c>
    </row>
    <row r="68" spans="1:2" ht="18" x14ac:dyDescent="0.2">
      <c r="A68" s="163">
        <v>46076</v>
      </c>
      <c r="B68" s="162">
        <v>82.46</v>
      </c>
    </row>
    <row r="69" spans="1:2" ht="18" x14ac:dyDescent="0.2">
      <c r="A69" s="163">
        <v>46073</v>
      </c>
      <c r="B69" s="162">
        <v>82.24</v>
      </c>
    </row>
    <row r="70" spans="1:2" ht="18" x14ac:dyDescent="0.2">
      <c r="A70" s="163">
        <v>46072</v>
      </c>
      <c r="B70" s="162">
        <v>81.31</v>
      </c>
    </row>
    <row r="71" spans="1:2" ht="18" x14ac:dyDescent="0.2">
      <c r="A71" s="163">
        <v>46071</v>
      </c>
      <c r="B71" s="162">
        <v>84.06</v>
      </c>
    </row>
    <row r="72" spans="1:2" ht="18" x14ac:dyDescent="0.2">
      <c r="A72" s="163">
        <v>46070</v>
      </c>
      <c r="B72" s="162">
        <v>84.29</v>
      </c>
    </row>
    <row r="73" spans="1:2" ht="18" x14ac:dyDescent="0.2">
      <c r="A73" s="163">
        <v>46066</v>
      </c>
      <c r="B73" s="162">
        <v>84.44</v>
      </c>
    </row>
    <row r="74" spans="1:2" ht="18" x14ac:dyDescent="0.2">
      <c r="A74" s="163">
        <v>46065</v>
      </c>
      <c r="B74" s="162">
        <v>82.9</v>
      </c>
    </row>
    <row r="75" spans="1:2" ht="18" x14ac:dyDescent="0.2">
      <c r="A75" s="163">
        <v>46064</v>
      </c>
      <c r="B75" s="162">
        <v>85.82</v>
      </c>
    </row>
    <row r="76" spans="1:2" ht="18" x14ac:dyDescent="0.2">
      <c r="A76" s="163">
        <v>46063</v>
      </c>
      <c r="B76" s="162">
        <v>84.31</v>
      </c>
    </row>
    <row r="77" spans="1:2" ht="18" x14ac:dyDescent="0.2">
      <c r="A77" s="163">
        <v>46062</v>
      </c>
      <c r="B77" s="162">
        <v>83.16</v>
      </c>
    </row>
    <row r="78" spans="1:2" ht="18" x14ac:dyDescent="0.2">
      <c r="A78" s="163">
        <v>46059</v>
      </c>
      <c r="B78" s="162">
        <v>83.72</v>
      </c>
    </row>
    <row r="79" spans="1:2" ht="18" x14ac:dyDescent="0.2">
      <c r="A79" s="163">
        <v>46058</v>
      </c>
      <c r="B79" s="162">
        <v>82.72</v>
      </c>
    </row>
    <row r="80" spans="1:2" ht="18" x14ac:dyDescent="0.2">
      <c r="A80" s="163">
        <v>46057</v>
      </c>
      <c r="B80" s="162">
        <v>80.95</v>
      </c>
    </row>
    <row r="81" spans="1:2" ht="18" x14ac:dyDescent="0.2">
      <c r="A81" s="163">
        <v>46056</v>
      </c>
      <c r="B81" s="162">
        <v>78.8</v>
      </c>
    </row>
    <row r="82" spans="1:2" ht="18" x14ac:dyDescent="0.2">
      <c r="A82" s="163">
        <v>46055</v>
      </c>
      <c r="B82" s="162">
        <v>79.819999999999993</v>
      </c>
    </row>
    <row r="83" spans="1:2" ht="18" x14ac:dyDescent="0.2">
      <c r="A83" s="163">
        <v>46052</v>
      </c>
      <c r="B83" s="162">
        <v>78.11</v>
      </c>
    </row>
    <row r="84" spans="1:2" ht="18" x14ac:dyDescent="0.2">
      <c r="A84" s="163">
        <v>46051</v>
      </c>
      <c r="B84" s="162">
        <v>78.11</v>
      </c>
    </row>
    <row r="85" spans="1:2" ht="18" x14ac:dyDescent="0.2">
      <c r="A85" s="163">
        <v>46050</v>
      </c>
      <c r="B85" s="162">
        <v>77.180000000000007</v>
      </c>
    </row>
    <row r="86" spans="1:2" ht="18" x14ac:dyDescent="0.2">
      <c r="A86" s="163">
        <v>46049</v>
      </c>
      <c r="B86" s="162">
        <v>82.81</v>
      </c>
    </row>
    <row r="87" spans="1:2" ht="18" x14ac:dyDescent="0.2">
      <c r="A87" s="163">
        <v>46048</v>
      </c>
      <c r="B87" s="162">
        <v>82.5</v>
      </c>
    </row>
    <row r="88" spans="1:2" ht="18" x14ac:dyDescent="0.2">
      <c r="A88" s="163">
        <v>46045</v>
      </c>
      <c r="B88" s="162">
        <v>80.91</v>
      </c>
    </row>
    <row r="89" spans="1:2" ht="18" x14ac:dyDescent="0.2">
      <c r="A89" s="163">
        <v>46044</v>
      </c>
      <c r="B89" s="162">
        <v>81.59</v>
      </c>
    </row>
    <row r="90" spans="1:2" ht="18" x14ac:dyDescent="0.2">
      <c r="A90" s="163">
        <v>46043</v>
      </c>
      <c r="B90" s="162">
        <v>80.95</v>
      </c>
    </row>
    <row r="91" spans="1:2" ht="18" x14ac:dyDescent="0.2">
      <c r="A91" s="163">
        <v>46042</v>
      </c>
      <c r="B91" s="162">
        <v>79.849999999999994</v>
      </c>
    </row>
    <row r="92" spans="1:2" ht="18" x14ac:dyDescent="0.2">
      <c r="A92" s="163">
        <v>46038</v>
      </c>
      <c r="B92" s="162">
        <v>80.11</v>
      </c>
    </row>
    <row r="93" spans="1:2" ht="18" x14ac:dyDescent="0.2">
      <c r="A93" s="163">
        <v>46037</v>
      </c>
      <c r="B93" s="162">
        <v>80.64</v>
      </c>
    </row>
    <row r="94" spans="1:2" ht="18" x14ac:dyDescent="0.2">
      <c r="A94" s="163">
        <v>46036</v>
      </c>
      <c r="B94" s="162">
        <v>81.95</v>
      </c>
    </row>
    <row r="95" spans="1:2" ht="18" x14ac:dyDescent="0.2">
      <c r="A95" s="163">
        <v>46035</v>
      </c>
      <c r="B95" s="162">
        <v>80.290000000000006</v>
      </c>
    </row>
    <row r="96" spans="1:2" ht="18" x14ac:dyDescent="0.2">
      <c r="A96" s="163">
        <v>46034</v>
      </c>
      <c r="B96" s="162">
        <v>80.459999999999994</v>
      </c>
    </row>
    <row r="97" spans="1:2" ht="18" x14ac:dyDescent="0.2">
      <c r="A97" s="163">
        <v>46031</v>
      </c>
      <c r="B97" s="162">
        <v>81.78</v>
      </c>
    </row>
    <row r="98" spans="1:2" ht="18" x14ac:dyDescent="0.2">
      <c r="A98" s="163">
        <v>46030</v>
      </c>
      <c r="B98" s="162">
        <v>82.88</v>
      </c>
    </row>
    <row r="99" spans="1:2" ht="18" x14ac:dyDescent="0.2">
      <c r="A99" s="163">
        <v>46029</v>
      </c>
      <c r="B99" s="162">
        <v>81.489999999999995</v>
      </c>
    </row>
    <row r="100" spans="1:2" ht="18" x14ac:dyDescent="0.2">
      <c r="A100" s="163">
        <v>46028</v>
      </c>
      <c r="B100" s="162">
        <v>88.12</v>
      </c>
    </row>
    <row r="101" spans="1:2" ht="18" x14ac:dyDescent="0.2">
      <c r="A101" s="163">
        <v>46027</v>
      </c>
      <c r="B101" s="162">
        <v>87.06</v>
      </c>
    </row>
    <row r="102" spans="1:2" ht="18" x14ac:dyDescent="0.2">
      <c r="A102" s="163">
        <v>46024</v>
      </c>
      <c r="B102" s="162">
        <v>86.27</v>
      </c>
    </row>
    <row r="103" spans="1:2" ht="18" x14ac:dyDescent="0.2">
      <c r="A103" s="163">
        <v>46022</v>
      </c>
      <c r="B103" s="162">
        <v>84.51</v>
      </c>
    </row>
    <row r="104" spans="1:2" ht="18" x14ac:dyDescent="0.2">
      <c r="A104" s="163">
        <v>46021</v>
      </c>
      <c r="B104" s="162">
        <v>85.81</v>
      </c>
    </row>
    <row r="105" spans="1:2" ht="18" x14ac:dyDescent="0.2">
      <c r="A105" s="163">
        <v>46020</v>
      </c>
      <c r="B105" s="162">
        <v>85.46</v>
      </c>
    </row>
    <row r="106" spans="1:2" ht="18" x14ac:dyDescent="0.2">
      <c r="A106" s="163">
        <v>46017</v>
      </c>
      <c r="B106" s="162">
        <v>86.12</v>
      </c>
    </row>
    <row r="107" spans="1:2" ht="18" x14ac:dyDescent="0.2">
      <c r="A107" s="163">
        <v>46015</v>
      </c>
      <c r="B107" s="162">
        <v>86.14</v>
      </c>
    </row>
    <row r="108" spans="1:2" ht="18" x14ac:dyDescent="0.2">
      <c r="A108" s="163">
        <v>46014</v>
      </c>
      <c r="B108" s="162">
        <v>86.25</v>
      </c>
    </row>
    <row r="109" spans="1:2" ht="18" x14ac:dyDescent="0.2">
      <c r="A109" s="163">
        <v>46013</v>
      </c>
      <c r="B109" s="162">
        <v>86.45</v>
      </c>
    </row>
    <row r="110" spans="1:2" ht="18" x14ac:dyDescent="0.2">
      <c r="A110" s="163">
        <v>46010</v>
      </c>
      <c r="B110" s="162">
        <v>85.63</v>
      </c>
    </row>
    <row r="111" spans="1:2" ht="18" x14ac:dyDescent="0.2">
      <c r="A111" s="163">
        <v>46009</v>
      </c>
      <c r="B111" s="162">
        <v>85.14</v>
      </c>
    </row>
    <row r="112" spans="1:2" ht="18" x14ac:dyDescent="0.2">
      <c r="A112" s="163">
        <v>46008</v>
      </c>
      <c r="B112" s="162">
        <v>85.92</v>
      </c>
    </row>
    <row r="113" spans="1:2" ht="18" x14ac:dyDescent="0.2">
      <c r="A113" s="163">
        <v>46007</v>
      </c>
      <c r="B113" s="162">
        <v>86.57</v>
      </c>
    </row>
    <row r="114" spans="1:2" ht="18" x14ac:dyDescent="0.2">
      <c r="A114" s="163">
        <v>46006</v>
      </c>
      <c r="B114" s="162">
        <v>87.7</v>
      </c>
    </row>
    <row r="115" spans="1:2" ht="18" x14ac:dyDescent="0.2">
      <c r="A115" s="163">
        <v>46003</v>
      </c>
      <c r="B115" s="162">
        <v>88.07</v>
      </c>
    </row>
    <row r="116" spans="1:2" ht="18" x14ac:dyDescent="0.2">
      <c r="A116" s="163">
        <v>46002</v>
      </c>
      <c r="B116" s="162">
        <v>89.41</v>
      </c>
    </row>
    <row r="117" spans="1:2" ht="18" x14ac:dyDescent="0.2">
      <c r="A117" s="163">
        <v>46001</v>
      </c>
      <c r="B117" s="162">
        <v>89.64</v>
      </c>
    </row>
    <row r="118" spans="1:2" ht="18" x14ac:dyDescent="0.2">
      <c r="A118" s="163">
        <v>46000</v>
      </c>
      <c r="B118" s="162">
        <v>89.1</v>
      </c>
    </row>
    <row r="119" spans="1:2" ht="18" x14ac:dyDescent="0.2">
      <c r="A119" s="163">
        <v>45999</v>
      </c>
      <c r="B119" s="162">
        <v>89.4</v>
      </c>
    </row>
    <row r="120" spans="1:2" ht="18" x14ac:dyDescent="0.2">
      <c r="A120" s="163">
        <v>45996</v>
      </c>
      <c r="B120" s="162">
        <v>89.96</v>
      </c>
    </row>
    <row r="121" spans="1:2" ht="18" x14ac:dyDescent="0.2">
      <c r="A121" s="163">
        <v>45995</v>
      </c>
      <c r="B121" s="162">
        <v>88.97</v>
      </c>
    </row>
    <row r="122" spans="1:2" ht="18" x14ac:dyDescent="0.2">
      <c r="A122" s="163">
        <v>45994</v>
      </c>
      <c r="B122" s="162">
        <v>89.36</v>
      </c>
    </row>
    <row r="123" spans="1:2" ht="18" x14ac:dyDescent="0.2">
      <c r="A123" s="163">
        <v>45993</v>
      </c>
      <c r="B123" s="162">
        <v>88.25</v>
      </c>
    </row>
    <row r="124" spans="1:2" ht="18" x14ac:dyDescent="0.2">
      <c r="A124" s="163">
        <v>45992</v>
      </c>
      <c r="B124" s="162">
        <v>85.75</v>
      </c>
    </row>
    <row r="125" spans="1:2" ht="18" x14ac:dyDescent="0.2">
      <c r="A125" s="163">
        <v>45989</v>
      </c>
      <c r="B125" s="162">
        <v>85.89</v>
      </c>
    </row>
    <row r="126" spans="1:2" ht="18" x14ac:dyDescent="0.2">
      <c r="A126" s="163">
        <v>45987</v>
      </c>
      <c r="B126" s="162">
        <v>85.62</v>
      </c>
    </row>
    <row r="127" spans="1:2" ht="18" x14ac:dyDescent="0.2">
      <c r="A127" s="163">
        <v>45986</v>
      </c>
      <c r="B127" s="162">
        <v>84.45</v>
      </c>
    </row>
    <row r="128" spans="1:2" ht="18" x14ac:dyDescent="0.2">
      <c r="A128" s="163">
        <v>45985</v>
      </c>
      <c r="B128" s="162">
        <v>83.05</v>
      </c>
    </row>
    <row r="129" spans="1:2" ht="18" x14ac:dyDescent="0.2">
      <c r="A129" s="163">
        <v>45982</v>
      </c>
      <c r="B129" s="162">
        <v>81.69</v>
      </c>
    </row>
    <row r="130" spans="1:2" ht="18" x14ac:dyDescent="0.2">
      <c r="A130" s="163">
        <v>45981</v>
      </c>
      <c r="B130" s="162">
        <v>79.25</v>
      </c>
    </row>
    <row r="131" spans="1:2" ht="18" x14ac:dyDescent="0.2">
      <c r="A131" s="163">
        <v>45980</v>
      </c>
      <c r="B131" s="162">
        <v>81.61</v>
      </c>
    </row>
    <row r="132" spans="1:2" ht="18" x14ac:dyDescent="0.2">
      <c r="A132" s="163">
        <v>45979</v>
      </c>
      <c r="B132" s="162">
        <v>81.14</v>
      </c>
    </row>
    <row r="133" spans="1:2" ht="18" x14ac:dyDescent="0.2">
      <c r="A133" s="163">
        <v>45978</v>
      </c>
      <c r="B133" s="162">
        <v>81.63</v>
      </c>
    </row>
    <row r="134" spans="1:2" ht="18" x14ac:dyDescent="0.2">
      <c r="A134" s="163">
        <v>45975</v>
      </c>
      <c r="B134" s="162">
        <v>84.98</v>
      </c>
    </row>
    <row r="135" spans="1:2" ht="18" x14ac:dyDescent="0.2">
      <c r="A135" s="163">
        <v>45974</v>
      </c>
      <c r="B135" s="162">
        <v>86.2</v>
      </c>
    </row>
    <row r="136" spans="1:2" ht="18" x14ac:dyDescent="0.2">
      <c r="A136" s="163">
        <v>45973</v>
      </c>
      <c r="B136" s="162">
        <v>87.84</v>
      </c>
    </row>
    <row r="137" spans="1:2" ht="18" x14ac:dyDescent="0.2">
      <c r="A137" s="163">
        <v>45972</v>
      </c>
      <c r="B137" s="162">
        <v>86.52</v>
      </c>
    </row>
    <row r="138" spans="1:2" ht="18" x14ac:dyDescent="0.2">
      <c r="A138" s="163">
        <v>45971</v>
      </c>
      <c r="B138" s="162">
        <v>86.88</v>
      </c>
    </row>
    <row r="139" spans="1:2" ht="18" x14ac:dyDescent="0.2">
      <c r="A139" s="163">
        <v>45968</v>
      </c>
      <c r="B139" s="162">
        <v>85.9</v>
      </c>
    </row>
    <row r="140" spans="1:2" ht="18" x14ac:dyDescent="0.2">
      <c r="A140" s="163">
        <v>45967</v>
      </c>
      <c r="B140" s="162">
        <v>87.12</v>
      </c>
    </row>
    <row r="141" spans="1:2" ht="18" x14ac:dyDescent="0.2">
      <c r="A141" s="163">
        <v>45966</v>
      </c>
      <c r="B141" s="162">
        <v>89.7</v>
      </c>
    </row>
    <row r="142" spans="1:2" ht="18" x14ac:dyDescent="0.2">
      <c r="A142" s="163">
        <v>45965</v>
      </c>
      <c r="B142" s="162">
        <v>87.54</v>
      </c>
    </row>
    <row r="143" spans="1:2" ht="18" x14ac:dyDescent="0.2">
      <c r="A143" s="163">
        <v>45964</v>
      </c>
      <c r="B143" s="162">
        <v>93.58</v>
      </c>
    </row>
    <row r="144" spans="1:2" ht="18" x14ac:dyDescent="0.2">
      <c r="A144" s="163">
        <v>45961</v>
      </c>
      <c r="B144" s="162">
        <v>94.92</v>
      </c>
    </row>
    <row r="145" spans="1:2" ht="18" x14ac:dyDescent="0.2">
      <c r="A145" s="163">
        <v>45960</v>
      </c>
      <c r="B145" s="162">
        <v>95.99</v>
      </c>
    </row>
    <row r="146" spans="1:2" ht="18" x14ac:dyDescent="0.2">
      <c r="A146" s="163">
        <v>45959</v>
      </c>
      <c r="B146" s="162">
        <v>95.48</v>
      </c>
    </row>
    <row r="147" spans="1:2" ht="18" x14ac:dyDescent="0.2">
      <c r="A147" s="163">
        <v>45958</v>
      </c>
      <c r="B147" s="162">
        <v>97.42</v>
      </c>
    </row>
    <row r="148" spans="1:2" ht="18" x14ac:dyDescent="0.2">
      <c r="A148" s="163">
        <v>45957</v>
      </c>
      <c r="B148" s="162">
        <v>92.13</v>
      </c>
    </row>
    <row r="149" spans="1:2" ht="18" x14ac:dyDescent="0.2">
      <c r="A149" s="163">
        <v>45954</v>
      </c>
      <c r="B149" s="162">
        <v>90.71</v>
      </c>
    </row>
    <row r="150" spans="1:2" ht="18" x14ac:dyDescent="0.2">
      <c r="A150" s="163">
        <v>45953</v>
      </c>
      <c r="B150" s="162">
        <v>92.06</v>
      </c>
    </row>
    <row r="151" spans="1:2" ht="18" x14ac:dyDescent="0.2">
      <c r="A151" s="163">
        <v>45952</v>
      </c>
      <c r="B151" s="162">
        <v>90.67</v>
      </c>
    </row>
    <row r="152" spans="1:2" ht="18" x14ac:dyDescent="0.2">
      <c r="A152" s="163">
        <v>45951</v>
      </c>
      <c r="B152" s="162">
        <v>93.49</v>
      </c>
    </row>
    <row r="153" spans="1:2" ht="18" x14ac:dyDescent="0.2">
      <c r="A153" s="163">
        <v>45950</v>
      </c>
      <c r="B153" s="162">
        <v>93.16</v>
      </c>
    </row>
    <row r="154" spans="1:2" ht="18" x14ac:dyDescent="0.2">
      <c r="A154" s="163">
        <v>45947</v>
      </c>
      <c r="B154" s="162">
        <v>92.13</v>
      </c>
    </row>
    <row r="155" spans="1:2" ht="18" x14ac:dyDescent="0.2">
      <c r="A155" s="163">
        <v>45946</v>
      </c>
      <c r="B155" s="162">
        <v>91.68</v>
      </c>
    </row>
    <row r="156" spans="1:2" ht="18" x14ac:dyDescent="0.2">
      <c r="A156" s="163">
        <v>45945</v>
      </c>
      <c r="B156" s="162">
        <v>89.97</v>
      </c>
    </row>
    <row r="157" spans="1:2" ht="18" x14ac:dyDescent="0.2">
      <c r="A157" s="163">
        <v>45944</v>
      </c>
      <c r="B157" s="162">
        <v>87.87</v>
      </c>
    </row>
    <row r="158" spans="1:2" ht="18" x14ac:dyDescent="0.2">
      <c r="A158" s="163">
        <v>45943</v>
      </c>
      <c r="B158" s="162">
        <v>87.92</v>
      </c>
    </row>
    <row r="159" spans="1:2" ht="18" x14ac:dyDescent="0.2">
      <c r="A159" s="163">
        <v>45940</v>
      </c>
      <c r="B159" s="162">
        <v>83.24</v>
      </c>
    </row>
    <row r="160" spans="1:2" ht="18" x14ac:dyDescent="0.2">
      <c r="A160" s="163">
        <v>45939</v>
      </c>
      <c r="B160" s="162">
        <v>90.11</v>
      </c>
    </row>
    <row r="161" spans="1:2" ht="18" x14ac:dyDescent="0.2">
      <c r="A161" s="163">
        <v>45938</v>
      </c>
      <c r="B161" s="162">
        <v>91.53</v>
      </c>
    </row>
    <row r="162" spans="1:2" ht="18" x14ac:dyDescent="0.2">
      <c r="A162" s="163">
        <v>45937</v>
      </c>
      <c r="B162" s="162">
        <v>89.45</v>
      </c>
    </row>
    <row r="163" spans="1:2" ht="18" x14ac:dyDescent="0.2">
      <c r="A163" s="163">
        <v>45936</v>
      </c>
      <c r="B163" s="162">
        <v>92.41</v>
      </c>
    </row>
    <row r="164" spans="1:2" ht="18" x14ac:dyDescent="0.2">
      <c r="A164" s="163">
        <v>45933</v>
      </c>
      <c r="B164" s="162">
        <v>93.48</v>
      </c>
    </row>
    <row r="165" spans="1:2" ht="18" x14ac:dyDescent="0.2">
      <c r="A165" s="163">
        <v>45932</v>
      </c>
      <c r="B165" s="162">
        <v>91.54</v>
      </c>
    </row>
    <row r="166" spans="1:2" ht="18" x14ac:dyDescent="0.2">
      <c r="A166" s="163">
        <v>45931</v>
      </c>
      <c r="B166" s="162">
        <v>90.47</v>
      </c>
    </row>
    <row r="167" spans="1:2" ht="18" x14ac:dyDescent="0.2">
      <c r="A167" s="163">
        <v>45930</v>
      </c>
      <c r="B167" s="162">
        <v>91.08</v>
      </c>
    </row>
    <row r="168" spans="1:2" ht="18" x14ac:dyDescent="0.2">
      <c r="A168" s="163">
        <v>45929</v>
      </c>
      <c r="B168" s="162">
        <v>90.46</v>
      </c>
    </row>
    <row r="169" spans="1:2" ht="18" x14ac:dyDescent="0.2">
      <c r="A169" s="163">
        <v>45926</v>
      </c>
      <c r="B169" s="162">
        <v>93.02</v>
      </c>
    </row>
    <row r="170" spans="1:2" ht="18" x14ac:dyDescent="0.2">
      <c r="A170" s="163">
        <v>45925</v>
      </c>
      <c r="B170" s="162">
        <v>93.36</v>
      </c>
    </row>
    <row r="171" spans="1:2" ht="18" x14ac:dyDescent="0.2">
      <c r="A171" s="163">
        <v>45924</v>
      </c>
      <c r="B171" s="162">
        <v>93.27</v>
      </c>
    </row>
    <row r="172" spans="1:2" ht="18" x14ac:dyDescent="0.2">
      <c r="A172" s="163">
        <v>45923</v>
      </c>
      <c r="B172" s="162">
        <v>93.85</v>
      </c>
    </row>
    <row r="173" spans="1:2" ht="18" x14ac:dyDescent="0.2">
      <c r="A173" s="163">
        <v>45922</v>
      </c>
      <c r="B173" s="162">
        <v>96.31</v>
      </c>
    </row>
    <row r="174" spans="1:2" ht="18" x14ac:dyDescent="0.2">
      <c r="A174" s="163">
        <v>45919</v>
      </c>
      <c r="B174" s="162">
        <v>91.81</v>
      </c>
    </row>
    <row r="175" spans="1:2" ht="18" x14ac:dyDescent="0.2">
      <c r="A175" s="163">
        <v>45918</v>
      </c>
      <c r="B175" s="162">
        <v>90.03</v>
      </c>
    </row>
    <row r="176" spans="1:2" ht="18" x14ac:dyDescent="0.2">
      <c r="A176" s="163">
        <v>45917</v>
      </c>
      <c r="B176" s="162">
        <v>87.67</v>
      </c>
    </row>
    <row r="177" spans="1:2" ht="18" x14ac:dyDescent="0.2">
      <c r="A177" s="163">
        <v>45916</v>
      </c>
      <c r="B177" s="162">
        <v>86.94</v>
      </c>
    </row>
    <row r="178" spans="1:2" ht="18" x14ac:dyDescent="0.2">
      <c r="A178" s="163">
        <v>45915</v>
      </c>
      <c r="B178" s="162">
        <v>86.41</v>
      </c>
    </row>
    <row r="179" spans="1:2" ht="18" x14ac:dyDescent="0.2">
      <c r="A179" s="163">
        <v>45912</v>
      </c>
      <c r="B179" s="162">
        <v>86.81</v>
      </c>
    </row>
    <row r="180" spans="1:2" ht="18" x14ac:dyDescent="0.2">
      <c r="A180" s="163">
        <v>45911</v>
      </c>
      <c r="B180" s="162">
        <v>87.67</v>
      </c>
    </row>
    <row r="181" spans="1:2" ht="18" x14ac:dyDescent="0.2">
      <c r="A181" s="163">
        <v>45910</v>
      </c>
      <c r="B181" s="162">
        <v>89.19</v>
      </c>
    </row>
    <row r="182" spans="1:2" ht="18" x14ac:dyDescent="0.2">
      <c r="A182" s="163">
        <v>45909</v>
      </c>
      <c r="B182" s="162">
        <v>92.11</v>
      </c>
    </row>
    <row r="183" spans="1:2" ht="18" x14ac:dyDescent="0.2">
      <c r="A183" s="163">
        <v>45908</v>
      </c>
      <c r="B183" s="162">
        <v>91.76</v>
      </c>
    </row>
    <row r="184" spans="1:2" ht="18" x14ac:dyDescent="0.2">
      <c r="A184" s="163">
        <v>45905</v>
      </c>
      <c r="B184" s="162">
        <v>92.89</v>
      </c>
    </row>
    <row r="185" spans="1:2" ht="18" x14ac:dyDescent="0.2">
      <c r="A185" s="163">
        <v>45904</v>
      </c>
      <c r="B185" s="162">
        <v>92.2</v>
      </c>
    </row>
    <row r="186" spans="1:2" ht="18" x14ac:dyDescent="0.2">
      <c r="A186" s="163">
        <v>45903</v>
      </c>
      <c r="B186" s="162">
        <v>90.88</v>
      </c>
    </row>
    <row r="187" spans="1:2" ht="18" x14ac:dyDescent="0.2">
      <c r="A187" s="163">
        <v>45902</v>
      </c>
      <c r="B187" s="162">
        <v>90.34</v>
      </c>
    </row>
    <row r="188" spans="1:2" ht="18" x14ac:dyDescent="0.2">
      <c r="A188" s="163">
        <v>45898</v>
      </c>
      <c r="B188" s="162">
        <v>90.7</v>
      </c>
    </row>
    <row r="189" spans="1:2" ht="18" x14ac:dyDescent="0.2">
      <c r="A189" s="163">
        <v>45897</v>
      </c>
      <c r="B189" s="162">
        <v>91.49</v>
      </c>
    </row>
    <row r="190" spans="1:2" ht="18" x14ac:dyDescent="0.2">
      <c r="A190" s="163">
        <v>45896</v>
      </c>
      <c r="B190" s="162">
        <v>91.91</v>
      </c>
    </row>
    <row r="191" spans="1:2" ht="18" x14ac:dyDescent="0.2">
      <c r="A191" s="163">
        <v>45895</v>
      </c>
      <c r="B191" s="162">
        <v>92.37</v>
      </c>
    </row>
    <row r="192" spans="1:2" ht="18" x14ac:dyDescent="0.2">
      <c r="A192" s="163">
        <v>45894</v>
      </c>
      <c r="B192" s="162">
        <v>92.12</v>
      </c>
    </row>
    <row r="193" spans="1:2" ht="18" x14ac:dyDescent="0.2">
      <c r="A193" s="163">
        <v>45891</v>
      </c>
      <c r="B193" s="162">
        <v>92.95</v>
      </c>
    </row>
    <row r="194" spans="1:2" ht="18" x14ac:dyDescent="0.2">
      <c r="A194" s="163">
        <v>45890</v>
      </c>
      <c r="B194" s="162">
        <v>89.07</v>
      </c>
    </row>
    <row r="195" spans="1:2" ht="18" x14ac:dyDescent="0.2">
      <c r="A195" s="163">
        <v>45889</v>
      </c>
      <c r="B195" s="162">
        <v>89.05</v>
      </c>
    </row>
    <row r="196" spans="1:2" ht="18" x14ac:dyDescent="0.2">
      <c r="A196" s="163">
        <v>45888</v>
      </c>
      <c r="B196" s="162">
        <v>89.54</v>
      </c>
    </row>
    <row r="197" spans="1:2" ht="18" x14ac:dyDescent="0.2">
      <c r="A197" s="163">
        <v>45887</v>
      </c>
      <c r="B197" s="162">
        <v>89.25</v>
      </c>
    </row>
    <row r="198" spans="1:2" ht="18" x14ac:dyDescent="0.2">
      <c r="A198" s="163">
        <v>45884</v>
      </c>
      <c r="B198" s="162">
        <v>89.35</v>
      </c>
    </row>
    <row r="199" spans="1:2" ht="18" x14ac:dyDescent="0.2">
      <c r="A199" s="163">
        <v>45883</v>
      </c>
      <c r="B199" s="162">
        <v>90.66</v>
      </c>
    </row>
    <row r="200" spans="1:2" ht="18" x14ac:dyDescent="0.2">
      <c r="A200" s="163">
        <v>45882</v>
      </c>
      <c r="B200" s="162">
        <v>90.14</v>
      </c>
    </row>
    <row r="201" spans="1:2" ht="18" x14ac:dyDescent="0.2">
      <c r="A201" s="163">
        <v>45881</v>
      </c>
      <c r="B201" s="162">
        <v>89.77</v>
      </c>
    </row>
    <row r="202" spans="1:2" ht="18" x14ac:dyDescent="0.2">
      <c r="A202" s="163">
        <v>45880</v>
      </c>
      <c r="B202" s="162">
        <v>86.98</v>
      </c>
    </row>
    <row r="203" spans="1:2" ht="18" x14ac:dyDescent="0.2">
      <c r="A203" s="163">
        <v>45877</v>
      </c>
      <c r="B203" s="162">
        <v>88.09</v>
      </c>
    </row>
    <row r="204" spans="1:2" ht="18" x14ac:dyDescent="0.2">
      <c r="A204" s="163">
        <v>45876</v>
      </c>
      <c r="B204" s="162">
        <v>87.55</v>
      </c>
    </row>
    <row r="205" spans="1:2" ht="18" x14ac:dyDescent="0.2">
      <c r="A205" s="163">
        <v>45875</v>
      </c>
      <c r="B205" s="162">
        <v>84.19</v>
      </c>
    </row>
    <row r="206" spans="1:2" ht="18" x14ac:dyDescent="0.2">
      <c r="A206" s="163">
        <v>45874</v>
      </c>
      <c r="B206" s="162">
        <v>84.95</v>
      </c>
    </row>
    <row r="207" spans="1:2" ht="18" x14ac:dyDescent="0.2">
      <c r="A207" s="163">
        <v>45873</v>
      </c>
      <c r="B207" s="162">
        <v>85.17</v>
      </c>
    </row>
    <row r="208" spans="1:2" ht="18" x14ac:dyDescent="0.2">
      <c r="A208" s="163">
        <v>45870</v>
      </c>
      <c r="B208" s="162">
        <v>84.11</v>
      </c>
    </row>
    <row r="209" spans="1:2" ht="18" x14ac:dyDescent="0.2">
      <c r="A209" s="163">
        <v>45869</v>
      </c>
      <c r="B209" s="162">
        <v>83.6</v>
      </c>
    </row>
    <row r="210" spans="1:2" ht="18" x14ac:dyDescent="0.2">
      <c r="A210" s="163">
        <v>45868</v>
      </c>
      <c r="B210" s="162">
        <v>86.5</v>
      </c>
    </row>
    <row r="211" spans="1:2" ht="18" x14ac:dyDescent="0.2">
      <c r="A211" s="163">
        <v>45867</v>
      </c>
      <c r="B211" s="162">
        <v>84.67</v>
      </c>
    </row>
    <row r="212" spans="1:2" ht="18" x14ac:dyDescent="0.2">
      <c r="A212" s="163">
        <v>45866</v>
      </c>
      <c r="B212" s="162">
        <v>84.32</v>
      </c>
    </row>
    <row r="213" spans="1:2" ht="18" x14ac:dyDescent="0.2">
      <c r="A213" s="163">
        <v>45863</v>
      </c>
      <c r="B213" s="162">
        <v>85.28</v>
      </c>
    </row>
    <row r="214" spans="1:2" ht="18" x14ac:dyDescent="0.2">
      <c r="A214" s="163">
        <v>45862</v>
      </c>
      <c r="B214" s="162">
        <v>86.19</v>
      </c>
    </row>
    <row r="215" spans="1:2" ht="18" x14ac:dyDescent="0.2">
      <c r="A215" s="163">
        <v>45861</v>
      </c>
      <c r="B215" s="162">
        <v>88.53</v>
      </c>
    </row>
    <row r="216" spans="1:2" ht="18" x14ac:dyDescent="0.2">
      <c r="A216" s="163">
        <v>45860</v>
      </c>
      <c r="B216" s="162">
        <v>87.8</v>
      </c>
    </row>
    <row r="217" spans="1:2" ht="18" x14ac:dyDescent="0.2">
      <c r="A217" s="163">
        <v>45859</v>
      </c>
      <c r="B217" s="162">
        <v>87.93</v>
      </c>
    </row>
    <row r="218" spans="1:2" ht="18" x14ac:dyDescent="0.2">
      <c r="A218" s="163">
        <v>45856</v>
      </c>
      <c r="B218" s="162">
        <v>88.57</v>
      </c>
    </row>
    <row r="219" spans="1:2" ht="18" x14ac:dyDescent="0.2">
      <c r="A219" s="163">
        <v>45855</v>
      </c>
      <c r="B219" s="162">
        <v>88.63</v>
      </c>
    </row>
    <row r="220" spans="1:2" ht="18" x14ac:dyDescent="0.2">
      <c r="A220" s="163">
        <v>45854</v>
      </c>
      <c r="B220" s="162">
        <v>88</v>
      </c>
    </row>
    <row r="221" spans="1:2" ht="18" x14ac:dyDescent="0.2">
      <c r="A221" s="163">
        <v>45853</v>
      </c>
      <c r="B221" s="162">
        <v>87.03</v>
      </c>
    </row>
    <row r="222" spans="1:2" ht="18" x14ac:dyDescent="0.2">
      <c r="A222" s="163">
        <v>45852</v>
      </c>
      <c r="B222" s="162">
        <v>87.48</v>
      </c>
    </row>
    <row r="223" spans="1:2" ht="18" x14ac:dyDescent="0.2">
      <c r="A223" s="163">
        <v>45849</v>
      </c>
      <c r="B223" s="162">
        <v>88.23</v>
      </c>
    </row>
    <row r="224" spans="1:2" ht="18" x14ac:dyDescent="0.2">
      <c r="A224" s="163">
        <v>45848</v>
      </c>
      <c r="B224" s="162">
        <v>90.32</v>
      </c>
    </row>
    <row r="225" spans="1:2" ht="18" x14ac:dyDescent="0.2">
      <c r="A225" s="163">
        <v>45847</v>
      </c>
      <c r="B225" s="162">
        <v>89.88</v>
      </c>
    </row>
    <row r="226" spans="1:2" ht="18" x14ac:dyDescent="0.2">
      <c r="A226" s="163">
        <v>45846</v>
      </c>
      <c r="B226" s="162">
        <v>88.03</v>
      </c>
    </row>
    <row r="227" spans="1:2" ht="18" x14ac:dyDescent="0.2">
      <c r="A227" s="163">
        <v>45845</v>
      </c>
      <c r="B227" s="162">
        <v>87.04</v>
      </c>
    </row>
    <row r="228" spans="1:2" ht="18" x14ac:dyDescent="0.2">
      <c r="A228" s="163">
        <v>45841</v>
      </c>
      <c r="B228" s="162">
        <v>88.78</v>
      </c>
    </row>
    <row r="229" spans="1:2" ht="18" x14ac:dyDescent="0.2">
      <c r="A229" s="163">
        <v>45840</v>
      </c>
      <c r="B229" s="162">
        <v>88.28</v>
      </c>
    </row>
    <row r="230" spans="1:2" ht="18" x14ac:dyDescent="0.2">
      <c r="A230" s="163">
        <v>45839</v>
      </c>
      <c r="B230" s="162">
        <v>86.08</v>
      </c>
    </row>
    <row r="231" spans="1:2" ht="18" x14ac:dyDescent="0.2">
      <c r="A231" s="163">
        <v>45838</v>
      </c>
      <c r="B231" s="162">
        <v>84.91</v>
      </c>
    </row>
    <row r="232" spans="1:2" ht="18" x14ac:dyDescent="0.2">
      <c r="A232" s="163">
        <v>45835</v>
      </c>
      <c r="B232" s="162">
        <v>83.85</v>
      </c>
    </row>
    <row r="233" spans="1:2" ht="18" x14ac:dyDescent="0.2">
      <c r="A233" s="163">
        <v>45834</v>
      </c>
      <c r="B233" s="162">
        <v>82.99</v>
      </c>
    </row>
    <row r="234" spans="1:2" ht="18" x14ac:dyDescent="0.2">
      <c r="A234" s="163">
        <v>45833</v>
      </c>
      <c r="B234" s="162">
        <v>82.74</v>
      </c>
    </row>
    <row r="235" spans="1:2" ht="18" x14ac:dyDescent="0.2">
      <c r="A235" s="163">
        <v>45832</v>
      </c>
      <c r="B235" s="162">
        <v>81.59</v>
      </c>
    </row>
    <row r="236" spans="1:2" ht="18" x14ac:dyDescent="0.2">
      <c r="A236" s="163">
        <v>45831</v>
      </c>
      <c r="B236" s="162">
        <v>80.92</v>
      </c>
    </row>
    <row r="237" spans="1:2" ht="18" x14ac:dyDescent="0.2">
      <c r="A237" s="163">
        <v>45828</v>
      </c>
      <c r="B237" s="162">
        <v>79.91</v>
      </c>
    </row>
    <row r="238" spans="1:2" ht="18" x14ac:dyDescent="0.2">
      <c r="A238" s="163">
        <v>45826</v>
      </c>
      <c r="B238" s="162">
        <v>80.3</v>
      </c>
    </row>
    <row r="239" spans="1:2" ht="18" x14ac:dyDescent="0.2">
      <c r="A239" s="163">
        <v>45825</v>
      </c>
      <c r="B239" s="162">
        <v>80.180000000000007</v>
      </c>
    </row>
    <row r="240" spans="1:2" ht="18" x14ac:dyDescent="0.2">
      <c r="A240" s="163">
        <v>45824</v>
      </c>
      <c r="B240" s="162">
        <v>80.739999999999995</v>
      </c>
    </row>
    <row r="241" spans="1:2" ht="18" x14ac:dyDescent="0.2">
      <c r="A241" s="163">
        <v>45821</v>
      </c>
      <c r="B241" s="162">
        <v>79.42</v>
      </c>
    </row>
    <row r="242" spans="1:2" ht="18" x14ac:dyDescent="0.2">
      <c r="A242" s="163">
        <v>45820</v>
      </c>
      <c r="B242" s="162">
        <v>81.760000000000005</v>
      </c>
    </row>
    <row r="243" spans="1:2" ht="18" x14ac:dyDescent="0.2">
      <c r="A243" s="163">
        <v>45819</v>
      </c>
      <c r="B243" s="162">
        <v>82.63</v>
      </c>
    </row>
    <row r="244" spans="1:2" ht="18" x14ac:dyDescent="0.2">
      <c r="A244" s="163">
        <v>45818</v>
      </c>
      <c r="B244" s="162">
        <v>83.01</v>
      </c>
    </row>
    <row r="245" spans="1:2" ht="18" x14ac:dyDescent="0.2">
      <c r="A245" s="163">
        <v>45817</v>
      </c>
      <c r="B245" s="162">
        <v>81.09</v>
      </c>
    </row>
    <row r="246" spans="1:2" ht="18" x14ac:dyDescent="0.2">
      <c r="A246" s="163">
        <v>45814</v>
      </c>
      <c r="B246" s="162">
        <v>78.58</v>
      </c>
    </row>
    <row r="247" spans="1:2" ht="18" x14ac:dyDescent="0.2">
      <c r="A247" s="163">
        <v>45813</v>
      </c>
      <c r="B247" s="162">
        <v>78.12</v>
      </c>
    </row>
    <row r="248" spans="1:2" ht="18" x14ac:dyDescent="0.2">
      <c r="A248" s="163">
        <v>45812</v>
      </c>
      <c r="B248" s="162">
        <v>79.23</v>
      </c>
    </row>
    <row r="249" spans="1:2" ht="18" x14ac:dyDescent="0.2">
      <c r="A249" s="163">
        <v>45811</v>
      </c>
      <c r="B249" s="162">
        <v>79.260000000000005</v>
      </c>
    </row>
    <row r="250" spans="1:2" ht="18" x14ac:dyDescent="0.2">
      <c r="A250" s="163">
        <v>45810</v>
      </c>
      <c r="B250" s="162">
        <v>76.37</v>
      </c>
    </row>
    <row r="251" spans="1:2" ht="18" x14ac:dyDescent="0.2">
      <c r="A251" s="163">
        <v>45807</v>
      </c>
      <c r="B251" s="162">
        <v>76.02</v>
      </c>
    </row>
    <row r="252" spans="1:2" ht="18" x14ac:dyDescent="0.2">
      <c r="A252" s="163">
        <v>45806</v>
      </c>
      <c r="B252" s="162">
        <v>76.41</v>
      </c>
    </row>
    <row r="253" spans="1:2" ht="18" x14ac:dyDescent="0.2">
      <c r="A253" s="163">
        <v>45805</v>
      </c>
      <c r="B253" s="162">
        <v>75.91</v>
      </c>
    </row>
    <row r="254" spans="1:2" ht="18" x14ac:dyDescent="0.2">
      <c r="A254" s="163">
        <v>45804</v>
      </c>
      <c r="B254" s="162">
        <v>76.95</v>
      </c>
    </row>
    <row r="255" spans="1:2" ht="18" x14ac:dyDescent="0.2">
      <c r="A255" s="163">
        <v>45800</v>
      </c>
      <c r="B255" s="162">
        <v>74.599999999999994</v>
      </c>
    </row>
    <row r="256" spans="1:2" ht="18" x14ac:dyDescent="0.2">
      <c r="A256" s="163">
        <v>45799</v>
      </c>
      <c r="B256" s="162">
        <v>76.099999999999994</v>
      </c>
    </row>
    <row r="257" spans="1:2" ht="18" x14ac:dyDescent="0.2">
      <c r="A257" s="163">
        <v>45798</v>
      </c>
      <c r="B257" s="162">
        <v>76.510000000000005</v>
      </c>
    </row>
    <row r="258" spans="1:2" ht="18" x14ac:dyDescent="0.2">
      <c r="A258" s="163">
        <v>45797</v>
      </c>
      <c r="B258" s="162">
        <v>78.92</v>
      </c>
    </row>
    <row r="259" spans="1:2" ht="18" x14ac:dyDescent="0.2">
      <c r="A259" s="163">
        <v>45796</v>
      </c>
      <c r="B259" s="162">
        <v>78.819999999999993</v>
      </c>
    </row>
    <row r="260" spans="1:2" ht="18" x14ac:dyDescent="0.2">
      <c r="A260" s="163">
        <v>45793</v>
      </c>
      <c r="B260" s="162">
        <v>79.64</v>
      </c>
    </row>
    <row r="261" spans="1:2" ht="18" x14ac:dyDescent="0.2">
      <c r="A261" s="163">
        <v>45792</v>
      </c>
      <c r="B261" s="162">
        <v>78.42</v>
      </c>
    </row>
    <row r="262" spans="1:2" ht="18" x14ac:dyDescent="0.2">
      <c r="A262" s="163">
        <v>45791</v>
      </c>
      <c r="B262" s="162">
        <v>79.44</v>
      </c>
    </row>
    <row r="263" spans="1:2" ht="18" x14ac:dyDescent="0.2">
      <c r="A263" s="163">
        <v>45790</v>
      </c>
      <c r="B263" s="162">
        <v>78.58</v>
      </c>
    </row>
    <row r="264" spans="1:2" ht="18" x14ac:dyDescent="0.2">
      <c r="A264" s="163">
        <v>45789</v>
      </c>
      <c r="B264" s="162">
        <v>78.42</v>
      </c>
    </row>
    <row r="265" spans="1:2" ht="18" x14ac:dyDescent="0.2">
      <c r="A265" s="163">
        <v>45786</v>
      </c>
      <c r="B265" s="162">
        <v>73.19</v>
      </c>
    </row>
    <row r="266" spans="1:2" ht="18" x14ac:dyDescent="0.2">
      <c r="A266" s="163">
        <v>45785</v>
      </c>
      <c r="B266" s="162">
        <v>72.37</v>
      </c>
    </row>
    <row r="267" spans="1:2" ht="18" x14ac:dyDescent="0.2">
      <c r="A267" s="163">
        <v>45784</v>
      </c>
      <c r="B267" s="162">
        <v>71.3</v>
      </c>
    </row>
    <row r="268" spans="1:2" ht="18" x14ac:dyDescent="0.2">
      <c r="A268" s="163">
        <v>45783</v>
      </c>
      <c r="B268" s="162">
        <v>70.31</v>
      </c>
    </row>
    <row r="269" spans="1:2" ht="18" x14ac:dyDescent="0.2">
      <c r="A269" s="163">
        <v>45782</v>
      </c>
      <c r="B269" s="162">
        <v>70.72</v>
      </c>
    </row>
    <row r="270" spans="1:2" ht="18" x14ac:dyDescent="0.2">
      <c r="A270" s="163">
        <v>45779</v>
      </c>
      <c r="B270" s="162">
        <v>70.900000000000006</v>
      </c>
    </row>
    <row r="271" spans="1:2" ht="18" x14ac:dyDescent="0.2">
      <c r="A271" s="163">
        <v>45778</v>
      </c>
      <c r="B271" s="162">
        <v>69.81</v>
      </c>
    </row>
    <row r="272" spans="1:2" ht="18" x14ac:dyDescent="0.2">
      <c r="A272" s="163">
        <v>45777</v>
      </c>
      <c r="B272" s="162">
        <v>71.67</v>
      </c>
    </row>
    <row r="273" spans="1:2" ht="18" x14ac:dyDescent="0.2">
      <c r="A273" s="163">
        <v>45776</v>
      </c>
      <c r="B273" s="162">
        <v>62.65</v>
      </c>
    </row>
    <row r="274" spans="1:2" ht="18" x14ac:dyDescent="0.2">
      <c r="A274" s="163">
        <v>45775</v>
      </c>
      <c r="B274" s="162">
        <v>63.8</v>
      </c>
    </row>
    <row r="275" spans="1:2" ht="18" x14ac:dyDescent="0.2">
      <c r="A275" s="163">
        <v>45772</v>
      </c>
      <c r="B275" s="162">
        <v>63.78</v>
      </c>
    </row>
    <row r="276" spans="1:2" ht="18" x14ac:dyDescent="0.2">
      <c r="A276" s="163">
        <v>45771</v>
      </c>
      <c r="B276" s="162">
        <v>63.51</v>
      </c>
    </row>
    <row r="277" spans="1:2" ht="18" x14ac:dyDescent="0.2">
      <c r="A277" s="163">
        <v>45770</v>
      </c>
      <c r="B277" s="162">
        <v>59.91</v>
      </c>
    </row>
    <row r="278" spans="1:2" ht="18" x14ac:dyDescent="0.2">
      <c r="A278" s="163">
        <v>45769</v>
      </c>
      <c r="B278" s="162">
        <v>59.12</v>
      </c>
    </row>
    <row r="279" spans="1:2" ht="18" x14ac:dyDescent="0.2">
      <c r="A279" s="163">
        <v>45768</v>
      </c>
      <c r="B279" s="162">
        <v>58.2</v>
      </c>
    </row>
    <row r="280" spans="1:2" ht="18" x14ac:dyDescent="0.2">
      <c r="A280" s="163">
        <v>45764</v>
      </c>
      <c r="B280" s="162">
        <v>57.63</v>
      </c>
    </row>
    <row r="281" spans="1:2" ht="18" x14ac:dyDescent="0.2">
      <c r="A281" s="163">
        <v>45763</v>
      </c>
      <c r="B281" s="162">
        <v>56.82</v>
      </c>
    </row>
    <row r="282" spans="1:2" ht="18" x14ac:dyDescent="0.2">
      <c r="A282" s="163">
        <v>45762</v>
      </c>
      <c r="B282" s="162">
        <v>57.81</v>
      </c>
    </row>
    <row r="283" spans="1:2" ht="18" x14ac:dyDescent="0.2">
      <c r="A283" s="163">
        <v>45761</v>
      </c>
      <c r="B283" s="162">
        <v>58.93</v>
      </c>
    </row>
    <row r="284" spans="1:2" ht="18" x14ac:dyDescent="0.2">
      <c r="A284" s="163">
        <v>45758</v>
      </c>
      <c r="B284" s="162">
        <v>56.27</v>
      </c>
    </row>
    <row r="285" spans="1:2" ht="18" x14ac:dyDescent="0.2">
      <c r="A285" s="163">
        <v>45757</v>
      </c>
      <c r="B285" s="162">
        <v>55.12</v>
      </c>
    </row>
    <row r="286" spans="1:2" ht="18" x14ac:dyDescent="0.2">
      <c r="A286" s="163">
        <v>45756</v>
      </c>
      <c r="B286" s="162">
        <v>62.11</v>
      </c>
    </row>
    <row r="287" spans="1:2" ht="18" x14ac:dyDescent="0.2">
      <c r="A287" s="163">
        <v>45755</v>
      </c>
      <c r="B287" s="162">
        <v>50.81</v>
      </c>
    </row>
    <row r="288" spans="1:2" ht="18" x14ac:dyDescent="0.2">
      <c r="A288" s="163">
        <v>45754</v>
      </c>
      <c r="B288" s="162">
        <v>56.39</v>
      </c>
    </row>
    <row r="289" spans="1:2" ht="18" x14ac:dyDescent="0.2">
      <c r="A289" s="163">
        <v>45751</v>
      </c>
      <c r="B289" s="162">
        <v>56.35</v>
      </c>
    </row>
    <row r="290" spans="1:2" ht="18" x14ac:dyDescent="0.2">
      <c r="A290" s="163">
        <v>45750</v>
      </c>
      <c r="B290" s="162">
        <v>61.09</v>
      </c>
    </row>
    <row r="291" spans="1:2" ht="18" x14ac:dyDescent="0.2">
      <c r="A291" s="163">
        <v>45749</v>
      </c>
      <c r="B291" s="162">
        <v>72.64</v>
      </c>
    </row>
    <row r="292" spans="1:2" ht="18" x14ac:dyDescent="0.2">
      <c r="A292" s="163">
        <v>45748</v>
      </c>
      <c r="B292" s="162">
        <v>72.23</v>
      </c>
    </row>
    <row r="293" spans="1:2" ht="18" x14ac:dyDescent="0.2">
      <c r="A293" s="163">
        <v>45747</v>
      </c>
      <c r="B293" s="162">
        <v>72.41</v>
      </c>
    </row>
    <row r="294" spans="1:2" ht="18" x14ac:dyDescent="0.2">
      <c r="A294" s="163">
        <v>45744</v>
      </c>
      <c r="B294" s="162">
        <v>71.5</v>
      </c>
    </row>
    <row r="295" spans="1:2" ht="18" x14ac:dyDescent="0.2">
      <c r="A295" s="163">
        <v>45743</v>
      </c>
      <c r="B295" s="162">
        <v>73.69</v>
      </c>
    </row>
    <row r="296" spans="1:2" ht="18" x14ac:dyDescent="0.2">
      <c r="A296" s="163">
        <v>45742</v>
      </c>
      <c r="B296" s="162">
        <v>75</v>
      </c>
    </row>
    <row r="297" spans="1:2" ht="18" x14ac:dyDescent="0.2">
      <c r="A297" s="163">
        <v>45741</v>
      </c>
      <c r="B297" s="162">
        <v>75.63</v>
      </c>
    </row>
    <row r="298" spans="1:2" ht="18" x14ac:dyDescent="0.2">
      <c r="A298" s="163">
        <v>45740</v>
      </c>
      <c r="B298" s="162">
        <v>72.91</v>
      </c>
    </row>
    <row r="299" spans="1:2" ht="18" x14ac:dyDescent="0.2">
      <c r="A299" s="163">
        <v>45737</v>
      </c>
      <c r="B299" s="162">
        <v>71.8</v>
      </c>
    </row>
    <row r="300" spans="1:2" ht="18" x14ac:dyDescent="0.2">
      <c r="A300" s="163">
        <v>45736</v>
      </c>
      <c r="B300" s="162">
        <v>72.36</v>
      </c>
    </row>
    <row r="301" spans="1:2" ht="18" x14ac:dyDescent="0.2">
      <c r="A301" s="163">
        <v>45735</v>
      </c>
      <c r="B301" s="162">
        <v>72.180000000000007</v>
      </c>
    </row>
    <row r="302" spans="1:2" ht="18" x14ac:dyDescent="0.2">
      <c r="A302" s="163">
        <v>45734</v>
      </c>
      <c r="B302" s="162">
        <v>72.02</v>
      </c>
    </row>
    <row r="303" spans="1:2" ht="18" x14ac:dyDescent="0.2">
      <c r="A303" s="163">
        <v>45733</v>
      </c>
      <c r="B303" s="162">
        <v>73.02</v>
      </c>
    </row>
    <row r="304" spans="1:2" ht="18" x14ac:dyDescent="0.2">
      <c r="A304" s="163">
        <v>45730</v>
      </c>
      <c r="B304" s="162">
        <v>71.39</v>
      </c>
    </row>
    <row r="305" spans="1:2" ht="18" x14ac:dyDescent="0.2">
      <c r="A305" s="163">
        <v>45729</v>
      </c>
      <c r="B305" s="162">
        <v>69.12</v>
      </c>
    </row>
    <row r="306" spans="1:2" ht="18" x14ac:dyDescent="0.2">
      <c r="A306" s="163">
        <v>45728</v>
      </c>
      <c r="B306" s="162">
        <v>69.319999999999993</v>
      </c>
    </row>
    <row r="307" spans="1:2" ht="18" x14ac:dyDescent="0.2">
      <c r="A307" s="163">
        <v>45727</v>
      </c>
      <c r="B307" s="162">
        <v>71.06</v>
      </c>
    </row>
    <row r="308" spans="1:2" ht="18" x14ac:dyDescent="0.2">
      <c r="A308" s="163">
        <v>45726</v>
      </c>
      <c r="B308" s="162">
        <v>74.08</v>
      </c>
    </row>
    <row r="309" spans="1:2" ht="18" x14ac:dyDescent="0.2">
      <c r="A309" s="163">
        <v>45723</v>
      </c>
      <c r="B309" s="162">
        <v>76.8</v>
      </c>
    </row>
    <row r="310" spans="1:2" ht="18" x14ac:dyDescent="0.2">
      <c r="A310" s="163">
        <v>45722</v>
      </c>
      <c r="B310" s="162">
        <v>71.2</v>
      </c>
    </row>
    <row r="311" spans="1:2" ht="18" x14ac:dyDescent="0.2">
      <c r="A311" s="163">
        <v>45721</v>
      </c>
      <c r="B311" s="162">
        <v>71.14</v>
      </c>
    </row>
    <row r="312" spans="1:2" ht="18" x14ac:dyDescent="0.2">
      <c r="A312" s="163">
        <v>45720</v>
      </c>
      <c r="B312" s="162">
        <v>69.27</v>
      </c>
    </row>
    <row r="313" spans="1:2" ht="18" x14ac:dyDescent="0.2">
      <c r="A313" s="163">
        <v>45719</v>
      </c>
      <c r="B313" s="162">
        <v>69.62</v>
      </c>
    </row>
    <row r="314" spans="1:2" ht="18" x14ac:dyDescent="0.2">
      <c r="A314" s="163">
        <v>45716</v>
      </c>
      <c r="B314" s="162">
        <v>72.69</v>
      </c>
    </row>
    <row r="315" spans="1:2" ht="18" x14ac:dyDescent="0.2">
      <c r="A315" s="163">
        <v>45715</v>
      </c>
      <c r="B315" s="162">
        <v>70.959999999999994</v>
      </c>
    </row>
    <row r="316" spans="1:2" ht="18" x14ac:dyDescent="0.2">
      <c r="A316" s="163">
        <v>45714</v>
      </c>
      <c r="B316" s="162">
        <v>74.540000000000006</v>
      </c>
    </row>
    <row r="317" spans="1:2" ht="18" x14ac:dyDescent="0.2">
      <c r="A317" s="163">
        <v>45713</v>
      </c>
      <c r="B317" s="162">
        <v>75.12</v>
      </c>
    </row>
    <row r="318" spans="1:2" ht="18" x14ac:dyDescent="0.2">
      <c r="A318" s="163">
        <v>45712</v>
      </c>
      <c r="B318" s="162">
        <v>75.27</v>
      </c>
    </row>
    <row r="319" spans="1:2" ht="18" x14ac:dyDescent="0.2">
      <c r="A319" s="163">
        <v>45709</v>
      </c>
      <c r="B319" s="162">
        <v>76.069999999999993</v>
      </c>
    </row>
    <row r="320" spans="1:2" ht="18" x14ac:dyDescent="0.2">
      <c r="A320" s="163">
        <v>45708</v>
      </c>
      <c r="B320" s="162">
        <v>77.099999999999994</v>
      </c>
    </row>
    <row r="321" spans="1:2" ht="18" x14ac:dyDescent="0.2">
      <c r="A321" s="163">
        <v>45707</v>
      </c>
      <c r="B321" s="162">
        <v>78.89</v>
      </c>
    </row>
    <row r="322" spans="1:2" ht="18" x14ac:dyDescent="0.2">
      <c r="A322" s="163">
        <v>45706</v>
      </c>
      <c r="B322" s="162">
        <v>77.959999999999994</v>
      </c>
    </row>
    <row r="323" spans="1:2" ht="18" x14ac:dyDescent="0.2">
      <c r="A323" s="163">
        <v>45702</v>
      </c>
      <c r="B323" s="162">
        <v>76.16</v>
      </c>
    </row>
    <row r="324" spans="1:2" ht="18" x14ac:dyDescent="0.2">
      <c r="A324" s="163">
        <v>45701</v>
      </c>
      <c r="B324" s="162">
        <v>77.489999999999995</v>
      </c>
    </row>
    <row r="325" spans="1:2" ht="18" x14ac:dyDescent="0.2">
      <c r="A325" s="163">
        <v>45700</v>
      </c>
      <c r="B325" s="162">
        <v>77.010000000000005</v>
      </c>
    </row>
    <row r="326" spans="1:2" ht="18" x14ac:dyDescent="0.2">
      <c r="A326" s="163">
        <v>45699</v>
      </c>
      <c r="B326" s="162">
        <v>76.66</v>
      </c>
    </row>
    <row r="327" spans="1:2" ht="18" x14ac:dyDescent="0.2">
      <c r="A327" s="163">
        <v>45698</v>
      </c>
      <c r="B327" s="162">
        <v>77.260000000000005</v>
      </c>
    </row>
    <row r="328" spans="1:2" ht="18" x14ac:dyDescent="0.2">
      <c r="A328" s="163">
        <v>45695</v>
      </c>
      <c r="B328" s="162">
        <v>77.03</v>
      </c>
    </row>
    <row r="329" spans="1:2" ht="18" x14ac:dyDescent="0.2">
      <c r="A329" s="163">
        <v>45694</v>
      </c>
      <c r="B329" s="162">
        <v>78.89</v>
      </c>
    </row>
    <row r="330" spans="1:2" ht="18" x14ac:dyDescent="0.2">
      <c r="A330" s="163">
        <v>45693</v>
      </c>
      <c r="B330" s="162">
        <v>82.59</v>
      </c>
    </row>
    <row r="331" spans="1:2" ht="18" x14ac:dyDescent="0.2">
      <c r="A331" s="163">
        <v>45692</v>
      </c>
      <c r="B331" s="162">
        <v>81.89</v>
      </c>
    </row>
    <row r="332" spans="1:2" ht="18" x14ac:dyDescent="0.2">
      <c r="A332" s="163">
        <v>45691</v>
      </c>
      <c r="B332" s="162">
        <v>81.66</v>
      </c>
    </row>
    <row r="333" spans="1:2" ht="18" x14ac:dyDescent="0.2">
      <c r="A333" s="163">
        <v>45688</v>
      </c>
      <c r="B333" s="162">
        <v>82.98</v>
      </c>
    </row>
    <row r="334" spans="1:2" ht="18" x14ac:dyDescent="0.2">
      <c r="A334" s="163">
        <v>45687</v>
      </c>
      <c r="B334" s="162">
        <v>83.72</v>
      </c>
    </row>
    <row r="335" spans="1:2" ht="18" x14ac:dyDescent="0.2">
      <c r="A335" s="163">
        <v>45686</v>
      </c>
      <c r="B335" s="162">
        <v>86.03</v>
      </c>
    </row>
    <row r="336" spans="1:2" ht="18" x14ac:dyDescent="0.2">
      <c r="A336" s="163">
        <v>45685</v>
      </c>
      <c r="B336" s="162">
        <v>85.78</v>
      </c>
    </row>
    <row r="337" spans="1:2" ht="18" x14ac:dyDescent="0.2">
      <c r="A337" s="163">
        <v>45684</v>
      </c>
      <c r="B337" s="162">
        <v>87.63</v>
      </c>
    </row>
    <row r="338" spans="1:2" ht="18" x14ac:dyDescent="0.2">
      <c r="A338" s="163">
        <v>45681</v>
      </c>
      <c r="B338" s="162">
        <v>88.94</v>
      </c>
    </row>
    <row r="339" spans="1:2" ht="18" x14ac:dyDescent="0.2">
      <c r="A339" s="163">
        <v>45680</v>
      </c>
      <c r="B339" s="162">
        <v>90.57</v>
      </c>
    </row>
    <row r="340" spans="1:2" ht="18" x14ac:dyDescent="0.2">
      <c r="A340" s="163">
        <v>45679</v>
      </c>
      <c r="B340" s="162">
        <v>87.09</v>
      </c>
    </row>
    <row r="341" spans="1:2" ht="18" x14ac:dyDescent="0.2">
      <c r="A341" s="163">
        <v>45678</v>
      </c>
      <c r="B341" s="162">
        <v>87.58</v>
      </c>
    </row>
    <row r="342" spans="1:2" ht="18" x14ac:dyDescent="0.2">
      <c r="A342" s="163">
        <v>45674</v>
      </c>
      <c r="B342" s="162">
        <v>84.21</v>
      </c>
    </row>
    <row r="343" spans="1:2" ht="18" x14ac:dyDescent="0.2">
      <c r="A343" s="163">
        <v>45673</v>
      </c>
      <c r="B343" s="162">
        <v>73.59</v>
      </c>
    </row>
    <row r="344" spans="1:2" ht="18" x14ac:dyDescent="0.2">
      <c r="A344" s="163">
        <v>45672</v>
      </c>
      <c r="B344" s="162">
        <v>74.16</v>
      </c>
    </row>
    <row r="345" spans="1:2" ht="18" x14ac:dyDescent="0.2">
      <c r="A345" s="163">
        <v>45671</v>
      </c>
      <c r="B345" s="162">
        <v>72.819999999999993</v>
      </c>
    </row>
    <row r="346" spans="1:2" ht="18" x14ac:dyDescent="0.2">
      <c r="A346" s="163">
        <v>45670</v>
      </c>
      <c r="B346" s="162">
        <v>71.91</v>
      </c>
    </row>
    <row r="347" spans="1:2" ht="18" x14ac:dyDescent="0.2">
      <c r="A347" s="163">
        <v>45667</v>
      </c>
      <c r="B347" s="162">
        <v>71.69</v>
      </c>
    </row>
    <row r="348" spans="1:2" ht="18" x14ac:dyDescent="0.2">
      <c r="A348" s="163">
        <v>45665</v>
      </c>
      <c r="B348" s="162">
        <v>73.08</v>
      </c>
    </row>
    <row r="349" spans="1:2" ht="18" x14ac:dyDescent="0.2">
      <c r="A349" s="163">
        <v>45664</v>
      </c>
      <c r="B349" s="162">
        <v>73.63</v>
      </c>
    </row>
    <row r="350" spans="1:2" ht="18" x14ac:dyDescent="0.2">
      <c r="A350" s="163">
        <v>45663</v>
      </c>
      <c r="B350" s="162">
        <v>72.14</v>
      </c>
    </row>
    <row r="351" spans="1:2" ht="18" x14ac:dyDescent="0.2">
      <c r="A351" s="163">
        <v>45660</v>
      </c>
      <c r="B351" s="162">
        <v>70.63</v>
      </c>
    </row>
    <row r="352" spans="1:2" ht="18" x14ac:dyDescent="0.2">
      <c r="A352" s="163">
        <v>45659</v>
      </c>
      <c r="B352" s="162">
        <v>69.760000000000005</v>
      </c>
    </row>
    <row r="353" spans="1:2" ht="18" x14ac:dyDescent="0.2">
      <c r="A353" s="163">
        <v>45657</v>
      </c>
      <c r="B353" s="162">
        <v>69.930000000000007</v>
      </c>
    </row>
    <row r="354" spans="1:2" ht="18" x14ac:dyDescent="0.2">
      <c r="A354" s="163">
        <v>45656</v>
      </c>
      <c r="B354" s="162">
        <v>69.73</v>
      </c>
    </row>
    <row r="355" spans="1:2" ht="18" x14ac:dyDescent="0.2">
      <c r="A355" s="163">
        <v>45653</v>
      </c>
      <c r="B355" s="162">
        <v>71.42</v>
      </c>
    </row>
    <row r="356" spans="1:2" ht="18" x14ac:dyDescent="0.2">
      <c r="A356" s="163">
        <v>45652</v>
      </c>
      <c r="B356" s="162">
        <v>71.63</v>
      </c>
    </row>
    <row r="357" spans="1:2" ht="18" x14ac:dyDescent="0.2">
      <c r="A357" s="163">
        <v>45650</v>
      </c>
      <c r="B357" s="162">
        <v>71.5</v>
      </c>
    </row>
    <row r="358" spans="1:2" ht="18" x14ac:dyDescent="0.2">
      <c r="A358" s="163">
        <v>45649</v>
      </c>
      <c r="B358" s="162">
        <v>71.540000000000006</v>
      </c>
    </row>
    <row r="359" spans="1:2" ht="18" x14ac:dyDescent="0.2">
      <c r="A359" s="163">
        <v>45646</v>
      </c>
      <c r="B359" s="162">
        <v>70.849999999999994</v>
      </c>
    </row>
    <row r="360" spans="1:2" ht="18" x14ac:dyDescent="0.2">
      <c r="A360" s="163">
        <v>45645</v>
      </c>
      <c r="B360" s="162">
        <v>68.8</v>
      </c>
    </row>
    <row r="361" spans="1:2" ht="18" x14ac:dyDescent="0.2">
      <c r="A361" s="163">
        <v>45644</v>
      </c>
      <c r="B361" s="162">
        <v>68.5</v>
      </c>
    </row>
    <row r="362" spans="1:2" ht="18" x14ac:dyDescent="0.2">
      <c r="A362" s="163">
        <v>45643</v>
      </c>
      <c r="B362" s="162">
        <v>70.95</v>
      </c>
    </row>
    <row r="363" spans="1:2" ht="18" x14ac:dyDescent="0.2">
      <c r="A363" s="163">
        <v>45642</v>
      </c>
      <c r="B363" s="162">
        <v>70.3</v>
      </c>
    </row>
    <row r="364" spans="1:2" ht="18" x14ac:dyDescent="0.2">
      <c r="A364" s="163">
        <v>45639</v>
      </c>
      <c r="B364" s="162">
        <v>69.59</v>
      </c>
    </row>
    <row r="365" spans="1:2" ht="18" x14ac:dyDescent="0.2">
      <c r="A365" s="163">
        <v>45638</v>
      </c>
      <c r="B365" s="162">
        <v>69.64</v>
      </c>
    </row>
    <row r="366" spans="1:2" ht="18" x14ac:dyDescent="0.2">
      <c r="A366" s="163">
        <v>45637</v>
      </c>
      <c r="B366" s="162">
        <v>69.06</v>
      </c>
    </row>
    <row r="367" spans="1:2" ht="18" x14ac:dyDescent="0.2">
      <c r="A367" s="163">
        <v>45636</v>
      </c>
      <c r="B367" s="162">
        <v>68.599999999999994</v>
      </c>
    </row>
    <row r="368" spans="1:2" ht="18" x14ac:dyDescent="0.2">
      <c r="A368" s="163">
        <v>45635</v>
      </c>
      <c r="B368" s="162">
        <v>69.510000000000005</v>
      </c>
    </row>
    <row r="369" spans="1:2" ht="18" x14ac:dyDescent="0.2">
      <c r="A369" s="163">
        <v>45632</v>
      </c>
      <c r="B369" s="162">
        <v>68.33</v>
      </c>
    </row>
    <row r="370" spans="1:2" ht="18" x14ac:dyDescent="0.2">
      <c r="A370" s="163">
        <v>45631</v>
      </c>
      <c r="B370" s="162">
        <v>68.69</v>
      </c>
    </row>
    <row r="371" spans="1:2" ht="18" x14ac:dyDescent="0.2">
      <c r="A371" s="163">
        <v>45630</v>
      </c>
      <c r="B371" s="162">
        <v>70.08</v>
      </c>
    </row>
    <row r="372" spans="1:2" ht="18" x14ac:dyDescent="0.2">
      <c r="A372" s="163">
        <v>45629</v>
      </c>
      <c r="B372" s="162">
        <v>70.430000000000007</v>
      </c>
    </row>
    <row r="373" spans="1:2" ht="18" x14ac:dyDescent="0.2">
      <c r="A373" s="163">
        <v>45628</v>
      </c>
      <c r="B373" s="162">
        <v>70.8</v>
      </c>
    </row>
    <row r="374" spans="1:2" ht="18" x14ac:dyDescent="0.2">
      <c r="A374" s="163">
        <v>45625</v>
      </c>
      <c r="B374" s="162">
        <v>69.05</v>
      </c>
    </row>
    <row r="375" spans="1:2" ht="18" x14ac:dyDescent="0.2">
      <c r="A375" s="163">
        <v>45623</v>
      </c>
      <c r="B375" s="162">
        <v>68.400000000000006</v>
      </c>
    </row>
    <row r="376" spans="1:2" ht="18" x14ac:dyDescent="0.2">
      <c r="A376" s="163">
        <v>45622</v>
      </c>
      <c r="B376" s="162">
        <v>68.150000000000006</v>
      </c>
    </row>
    <row r="377" spans="1:2" ht="18" x14ac:dyDescent="0.2">
      <c r="A377" s="163">
        <v>45621</v>
      </c>
      <c r="B377" s="162">
        <v>69.709999999999994</v>
      </c>
    </row>
    <row r="378" spans="1:2" ht="18" x14ac:dyDescent="0.2">
      <c r="A378" s="163">
        <v>45618</v>
      </c>
      <c r="B378" s="162">
        <v>69.25</v>
      </c>
    </row>
    <row r="379" spans="1:2" ht="18" x14ac:dyDescent="0.2">
      <c r="A379" s="163">
        <v>45617</v>
      </c>
      <c r="B379" s="162">
        <v>67.87</v>
      </c>
    </row>
    <row r="380" spans="1:2" ht="18" x14ac:dyDescent="0.2">
      <c r="A380" s="163">
        <v>45616</v>
      </c>
      <c r="B380" s="162">
        <v>65.66</v>
      </c>
    </row>
    <row r="381" spans="1:2" ht="18" x14ac:dyDescent="0.2">
      <c r="A381" s="163">
        <v>45615</v>
      </c>
      <c r="B381" s="162">
        <v>66.28</v>
      </c>
    </row>
    <row r="382" spans="1:2" ht="18" x14ac:dyDescent="0.2">
      <c r="A382" s="163">
        <v>45614</v>
      </c>
      <c r="B382" s="162">
        <v>66.319999999999993</v>
      </c>
    </row>
    <row r="383" spans="1:2" ht="18" x14ac:dyDescent="0.2">
      <c r="A383" s="163">
        <v>45611</v>
      </c>
      <c r="B383" s="162">
        <v>65.61</v>
      </c>
    </row>
    <row r="384" spans="1:2" ht="18" x14ac:dyDescent="0.2">
      <c r="A384" s="163">
        <v>45610</v>
      </c>
      <c r="B384" s="162">
        <v>66.3</v>
      </c>
    </row>
    <row r="385" spans="1:2" ht="18" x14ac:dyDescent="0.2">
      <c r="A385" s="163">
        <v>45609</v>
      </c>
      <c r="B385" s="162">
        <v>65.599999999999994</v>
      </c>
    </row>
    <row r="386" spans="1:2" ht="18" x14ac:dyDescent="0.2">
      <c r="A386" s="163">
        <v>45608</v>
      </c>
      <c r="B386" s="162">
        <v>67.27</v>
      </c>
    </row>
    <row r="387" spans="1:2" ht="18" x14ac:dyDescent="0.2">
      <c r="A387" s="163">
        <v>45607</v>
      </c>
      <c r="B387" s="162">
        <v>68.739999999999995</v>
      </c>
    </row>
    <row r="388" spans="1:2" ht="18" x14ac:dyDescent="0.2">
      <c r="A388" s="163">
        <v>45604</v>
      </c>
      <c r="B388" s="162">
        <v>70.349999999999994</v>
      </c>
    </row>
    <row r="389" spans="1:2" ht="18" x14ac:dyDescent="0.2">
      <c r="A389" s="163">
        <v>45603</v>
      </c>
      <c r="B389" s="162">
        <v>72.06</v>
      </c>
    </row>
    <row r="390" spans="1:2" ht="18" x14ac:dyDescent="0.2">
      <c r="A390" s="163">
        <v>45602</v>
      </c>
      <c r="B390" s="162">
        <v>72.86</v>
      </c>
    </row>
    <row r="391" spans="1:2" ht="18" x14ac:dyDescent="0.2">
      <c r="A391" s="163">
        <v>45601</v>
      </c>
      <c r="B391" s="162">
        <v>71.8</v>
      </c>
    </row>
    <row r="392" spans="1:2" ht="18" x14ac:dyDescent="0.2">
      <c r="A392" s="163">
        <v>45600</v>
      </c>
      <c r="B392" s="162">
        <v>71.37</v>
      </c>
    </row>
    <row r="393" spans="1:2" ht="18" x14ac:dyDescent="0.2">
      <c r="A393" s="163">
        <v>45597</v>
      </c>
      <c r="B393" s="162">
        <v>71.86</v>
      </c>
    </row>
    <row r="394" spans="1:2" ht="18" x14ac:dyDescent="0.2">
      <c r="A394" s="163">
        <v>45596</v>
      </c>
      <c r="B394" s="162">
        <v>71.260000000000005</v>
      </c>
    </row>
    <row r="395" spans="1:2" ht="18" x14ac:dyDescent="0.2">
      <c r="A395" s="163">
        <v>45595</v>
      </c>
      <c r="B395" s="162">
        <v>73.040000000000006</v>
      </c>
    </row>
    <row r="396" spans="1:2" ht="18" x14ac:dyDescent="0.2">
      <c r="A396" s="163">
        <v>45594</v>
      </c>
      <c r="B396" s="162">
        <v>100.48</v>
      </c>
    </row>
    <row r="397" spans="1:2" ht="18" x14ac:dyDescent="0.2">
      <c r="A397" s="163">
        <v>45593</v>
      </c>
      <c r="B397" s="162">
        <v>100.26</v>
      </c>
    </row>
    <row r="398" spans="1:2" ht="18" x14ac:dyDescent="0.2">
      <c r="A398" s="163">
        <v>45590</v>
      </c>
      <c r="B398" s="162">
        <v>99.01</v>
      </c>
    </row>
    <row r="399" spans="1:2" ht="18" x14ac:dyDescent="0.2">
      <c r="A399" s="163">
        <v>45589</v>
      </c>
      <c r="B399" s="162">
        <v>99.53</v>
      </c>
    </row>
    <row r="400" spans="1:2" ht="18" x14ac:dyDescent="0.2">
      <c r="A400" s="163">
        <v>45588</v>
      </c>
      <c r="B400" s="162">
        <v>100.24</v>
      </c>
    </row>
    <row r="401" spans="1:2" ht="18" x14ac:dyDescent="0.2">
      <c r="A401" s="163">
        <v>45587</v>
      </c>
      <c r="B401" s="162">
        <v>100.8</v>
      </c>
    </row>
    <row r="402" spans="1:2" ht="18" x14ac:dyDescent="0.2">
      <c r="A402" s="163">
        <v>45586</v>
      </c>
      <c r="B402" s="162">
        <v>102.2</v>
      </c>
    </row>
    <row r="403" spans="1:2" ht="18" x14ac:dyDescent="0.2">
      <c r="A403" s="163">
        <v>45583</v>
      </c>
      <c r="B403" s="162">
        <v>104.5</v>
      </c>
    </row>
    <row r="404" spans="1:2" ht="18" x14ac:dyDescent="0.2">
      <c r="A404" s="163">
        <v>45582</v>
      </c>
      <c r="B404" s="162">
        <v>104.28</v>
      </c>
    </row>
    <row r="405" spans="1:2" ht="18" x14ac:dyDescent="0.2">
      <c r="A405" s="163">
        <v>45581</v>
      </c>
      <c r="B405" s="162">
        <v>104</v>
      </c>
    </row>
    <row r="406" spans="1:2" ht="18" x14ac:dyDescent="0.2">
      <c r="A406" s="163">
        <v>45580</v>
      </c>
      <c r="B406" s="162">
        <v>103.58</v>
      </c>
    </row>
    <row r="407" spans="1:2" ht="18" x14ac:dyDescent="0.2">
      <c r="A407" s="163">
        <v>45579</v>
      </c>
      <c r="B407" s="162">
        <v>104.58</v>
      </c>
    </row>
    <row r="408" spans="1:2" ht="18" x14ac:dyDescent="0.2">
      <c r="A408" s="163">
        <v>45576</v>
      </c>
      <c r="B408" s="162">
        <v>101.83</v>
      </c>
    </row>
    <row r="409" spans="1:2" ht="18" x14ac:dyDescent="0.2">
      <c r="A409" s="163">
        <v>45575</v>
      </c>
      <c r="B409" s="162">
        <v>101.5</v>
      </c>
    </row>
    <row r="410" spans="1:2" ht="18" x14ac:dyDescent="0.2">
      <c r="A410" s="163">
        <v>45574</v>
      </c>
      <c r="B410" s="162">
        <v>102.16</v>
      </c>
    </row>
    <row r="411" spans="1:2" ht="18" x14ac:dyDescent="0.2">
      <c r="A411" s="163">
        <v>45573</v>
      </c>
      <c r="B411" s="162">
        <v>100.41</v>
      </c>
    </row>
    <row r="412" spans="1:2" ht="18" x14ac:dyDescent="0.2">
      <c r="A412" s="163">
        <v>45572</v>
      </c>
      <c r="B412" s="162">
        <v>100.36</v>
      </c>
    </row>
    <row r="413" spans="1:2" ht="18" x14ac:dyDescent="0.2">
      <c r="A413" s="163">
        <v>45569</v>
      </c>
      <c r="B413" s="162">
        <v>102</v>
      </c>
    </row>
    <row r="414" spans="1:2" ht="18" x14ac:dyDescent="0.2">
      <c r="A414" s="163">
        <v>45568</v>
      </c>
      <c r="B414" s="162">
        <v>101.68</v>
      </c>
    </row>
    <row r="415" spans="1:2" ht="18" x14ac:dyDescent="0.2">
      <c r="A415" s="163">
        <v>45567</v>
      </c>
      <c r="B415" s="162">
        <v>102.15</v>
      </c>
    </row>
    <row r="416" spans="1:2" ht="18" x14ac:dyDescent="0.2">
      <c r="A416" s="163">
        <v>45566</v>
      </c>
      <c r="B416" s="162">
        <v>99.78</v>
      </c>
    </row>
    <row r="417" spans="1:2" ht="18" x14ac:dyDescent="0.2">
      <c r="A417" s="163">
        <v>45565</v>
      </c>
      <c r="B417" s="162">
        <v>103.3</v>
      </c>
    </row>
    <row r="418" spans="1:2" ht="18" x14ac:dyDescent="0.2">
      <c r="A418" s="163">
        <v>45562</v>
      </c>
      <c r="B418" s="162">
        <v>103.6</v>
      </c>
    </row>
    <row r="419" spans="1:2" ht="18" x14ac:dyDescent="0.2">
      <c r="A419" s="163">
        <v>45561</v>
      </c>
      <c r="B419" s="162">
        <v>104.96</v>
      </c>
    </row>
    <row r="420" spans="1:2" ht="18" x14ac:dyDescent="0.2">
      <c r="A420" s="163">
        <v>45560</v>
      </c>
      <c r="B420" s="162">
        <v>102.49</v>
      </c>
    </row>
    <row r="421" spans="1:2" ht="18" x14ac:dyDescent="0.2">
      <c r="A421" s="163">
        <v>45559</v>
      </c>
      <c r="B421" s="162">
        <v>102.97</v>
      </c>
    </row>
    <row r="422" spans="1:2" ht="18" x14ac:dyDescent="0.2">
      <c r="A422" s="163">
        <v>45558</v>
      </c>
      <c r="B422" s="162">
        <v>102.18</v>
      </c>
    </row>
    <row r="423" spans="1:2" ht="18" x14ac:dyDescent="0.2">
      <c r="A423" s="163">
        <v>45555</v>
      </c>
      <c r="B423" s="162">
        <v>102.26</v>
      </c>
    </row>
    <row r="424" spans="1:2" ht="18" x14ac:dyDescent="0.2">
      <c r="A424" s="163">
        <v>45554</v>
      </c>
      <c r="B424" s="162">
        <v>103.17</v>
      </c>
    </row>
    <row r="425" spans="1:2" ht="18" x14ac:dyDescent="0.2">
      <c r="A425" s="163">
        <v>45553</v>
      </c>
      <c r="B425" s="162">
        <v>99.8</v>
      </c>
    </row>
    <row r="426" spans="1:2" ht="18" x14ac:dyDescent="0.2">
      <c r="A426" s="163">
        <v>45552</v>
      </c>
      <c r="B426" s="162">
        <v>100</v>
      </c>
    </row>
    <row r="427" spans="1:2" ht="18" x14ac:dyDescent="0.2">
      <c r="A427" s="163">
        <v>45551</v>
      </c>
      <c r="B427" s="162">
        <v>100.46</v>
      </c>
    </row>
    <row r="428" spans="1:2" ht="18" x14ac:dyDescent="0.2">
      <c r="A428" s="163">
        <v>45548</v>
      </c>
      <c r="B428" s="162">
        <v>107.65</v>
      </c>
    </row>
    <row r="429" spans="1:2" ht="18" x14ac:dyDescent="0.2">
      <c r="A429" s="163">
        <v>45547</v>
      </c>
      <c r="B429" s="162">
        <v>105.61</v>
      </c>
    </row>
    <row r="430" spans="1:2" ht="18" x14ac:dyDescent="0.2">
      <c r="A430" s="163">
        <v>45546</v>
      </c>
      <c r="B430" s="162">
        <v>107.17</v>
      </c>
    </row>
    <row r="431" spans="1:2" ht="18" x14ac:dyDescent="0.2">
      <c r="A431" s="163">
        <v>45545</v>
      </c>
      <c r="B431" s="162">
        <v>104.54</v>
      </c>
    </row>
    <row r="432" spans="1:2" ht="18" x14ac:dyDescent="0.2">
      <c r="A432" s="163">
        <v>45544</v>
      </c>
      <c r="B432" s="162">
        <v>105.27</v>
      </c>
    </row>
    <row r="433" spans="1:2" ht="18" x14ac:dyDescent="0.2">
      <c r="A433" s="163">
        <v>45541</v>
      </c>
      <c r="B433" s="162">
        <v>104.35</v>
      </c>
    </row>
    <row r="434" spans="1:2" ht="18" x14ac:dyDescent="0.2">
      <c r="A434" s="163">
        <v>45540</v>
      </c>
      <c r="B434" s="162">
        <v>108.08</v>
      </c>
    </row>
    <row r="435" spans="1:2" ht="18" x14ac:dyDescent="0.2">
      <c r="A435" s="163">
        <v>45539</v>
      </c>
      <c r="B435" s="162">
        <v>108.85</v>
      </c>
    </row>
    <row r="436" spans="1:2" ht="18" x14ac:dyDescent="0.2">
      <c r="A436" s="163">
        <v>45538</v>
      </c>
      <c r="B436" s="162">
        <v>108.11</v>
      </c>
    </row>
    <row r="437" spans="1:2" ht="18" x14ac:dyDescent="0.2">
      <c r="A437" s="163">
        <v>45534</v>
      </c>
      <c r="B437" s="162">
        <v>115.89</v>
      </c>
    </row>
    <row r="438" spans="1:2" ht="18" x14ac:dyDescent="0.2">
      <c r="A438" s="163">
        <v>45533</v>
      </c>
      <c r="B438" s="162">
        <v>113.87</v>
      </c>
    </row>
    <row r="439" spans="1:2" ht="18" x14ac:dyDescent="0.2">
      <c r="A439" s="163">
        <v>45532</v>
      </c>
      <c r="B439" s="162">
        <v>112.26</v>
      </c>
    </row>
    <row r="440" spans="1:2" ht="18" x14ac:dyDescent="0.2">
      <c r="A440" s="163">
        <v>45531</v>
      </c>
      <c r="B440" s="162">
        <v>113.67</v>
      </c>
    </row>
    <row r="441" spans="1:2" ht="18" x14ac:dyDescent="0.2">
      <c r="A441" s="163">
        <v>45530</v>
      </c>
      <c r="B441" s="162">
        <v>112.39</v>
      </c>
    </row>
    <row r="442" spans="1:2" ht="18" x14ac:dyDescent="0.2">
      <c r="A442" s="163">
        <v>45527</v>
      </c>
      <c r="B442" s="162">
        <v>115.52</v>
      </c>
    </row>
    <row r="443" spans="1:2" ht="18" x14ac:dyDescent="0.2">
      <c r="A443" s="163">
        <v>45526</v>
      </c>
      <c r="B443" s="162">
        <v>110.43</v>
      </c>
    </row>
    <row r="444" spans="1:2" ht="18" x14ac:dyDescent="0.2">
      <c r="A444" s="163">
        <v>45525</v>
      </c>
      <c r="B444" s="162">
        <v>112.92</v>
      </c>
    </row>
    <row r="445" spans="1:2" ht="18" x14ac:dyDescent="0.2">
      <c r="A445" s="163">
        <v>45524</v>
      </c>
      <c r="B445" s="162">
        <v>111.23</v>
      </c>
    </row>
    <row r="446" spans="1:2" ht="18" x14ac:dyDescent="0.2">
      <c r="A446" s="163">
        <v>45523</v>
      </c>
      <c r="B446" s="162">
        <v>112.34</v>
      </c>
    </row>
    <row r="447" spans="1:2" ht="18" x14ac:dyDescent="0.2">
      <c r="A447" s="163">
        <v>45520</v>
      </c>
      <c r="B447" s="162">
        <v>111.18</v>
      </c>
    </row>
    <row r="448" spans="1:2" ht="18" x14ac:dyDescent="0.2">
      <c r="A448" s="163">
        <v>45519</v>
      </c>
      <c r="B448" s="162">
        <v>112.38</v>
      </c>
    </row>
    <row r="449" spans="1:2" ht="18" x14ac:dyDescent="0.2">
      <c r="A449" s="163">
        <v>45518</v>
      </c>
      <c r="B449" s="162">
        <v>108.52</v>
      </c>
    </row>
    <row r="450" spans="1:2" ht="18" x14ac:dyDescent="0.2">
      <c r="A450" s="163">
        <v>45517</v>
      </c>
      <c r="B450" s="162">
        <v>111.01</v>
      </c>
    </row>
    <row r="451" spans="1:2" ht="18" x14ac:dyDescent="0.2">
      <c r="A451" s="163">
        <v>45516</v>
      </c>
      <c r="B451" s="162">
        <v>107.28</v>
      </c>
    </row>
    <row r="452" spans="1:2" ht="18" x14ac:dyDescent="0.2">
      <c r="A452" s="163">
        <v>45513</v>
      </c>
      <c r="B452" s="162">
        <v>106.2</v>
      </c>
    </row>
    <row r="453" spans="1:2" ht="18" x14ac:dyDescent="0.2">
      <c r="A453" s="163">
        <v>45512</v>
      </c>
      <c r="B453" s="162">
        <v>107.08</v>
      </c>
    </row>
    <row r="454" spans="1:2" ht="18" x14ac:dyDescent="0.2">
      <c r="A454" s="163">
        <v>45511</v>
      </c>
      <c r="B454" s="162">
        <v>100.6</v>
      </c>
    </row>
    <row r="455" spans="1:2" ht="18" x14ac:dyDescent="0.2">
      <c r="A455" s="163">
        <v>45510</v>
      </c>
      <c r="B455" s="162">
        <v>103.02</v>
      </c>
    </row>
    <row r="456" spans="1:2" ht="18" x14ac:dyDescent="0.2">
      <c r="A456" s="163">
        <v>45509</v>
      </c>
      <c r="B456" s="162">
        <v>104.61</v>
      </c>
    </row>
    <row r="457" spans="1:2" ht="18" x14ac:dyDescent="0.2">
      <c r="A457" s="163">
        <v>45506</v>
      </c>
      <c r="B457" s="162">
        <v>107.93</v>
      </c>
    </row>
    <row r="458" spans="1:2" ht="18" x14ac:dyDescent="0.2">
      <c r="A458" s="163">
        <v>45505</v>
      </c>
      <c r="B458" s="162">
        <v>110.65</v>
      </c>
    </row>
    <row r="459" spans="1:2" ht="18" x14ac:dyDescent="0.2">
      <c r="A459" s="163">
        <v>45504</v>
      </c>
      <c r="B459" s="162">
        <v>119.8</v>
      </c>
    </row>
    <row r="460" spans="1:2" ht="18" x14ac:dyDescent="0.2">
      <c r="A460" s="163">
        <v>45503</v>
      </c>
      <c r="B460" s="162">
        <v>119.46</v>
      </c>
    </row>
    <row r="461" spans="1:2" ht="18" x14ac:dyDescent="0.2">
      <c r="A461" s="163">
        <v>45502</v>
      </c>
      <c r="B461" s="162">
        <v>122.47</v>
      </c>
    </row>
    <row r="462" spans="1:2" ht="18" x14ac:dyDescent="0.2">
      <c r="A462" s="163">
        <v>45499</v>
      </c>
      <c r="B462" s="162">
        <v>122.01</v>
      </c>
    </row>
    <row r="463" spans="1:2" ht="18" x14ac:dyDescent="0.2">
      <c r="A463" s="163">
        <v>45498</v>
      </c>
      <c r="B463" s="162">
        <v>118.67</v>
      </c>
    </row>
    <row r="464" spans="1:2" ht="18" x14ac:dyDescent="0.2">
      <c r="A464" s="163">
        <v>45497</v>
      </c>
      <c r="B464" s="162">
        <v>120.04</v>
      </c>
    </row>
    <row r="465" spans="1:2" ht="18" x14ac:dyDescent="0.2">
      <c r="A465" s="163">
        <v>45496</v>
      </c>
      <c r="B465" s="162">
        <v>125.14</v>
      </c>
    </row>
    <row r="466" spans="1:2" ht="18" x14ac:dyDescent="0.2">
      <c r="A466" s="163">
        <v>45495</v>
      </c>
      <c r="B466" s="162">
        <v>125.49</v>
      </c>
    </row>
    <row r="467" spans="1:2" ht="18" x14ac:dyDescent="0.2">
      <c r="A467" s="163">
        <v>45492</v>
      </c>
      <c r="B467" s="162">
        <v>121.8</v>
      </c>
    </row>
    <row r="468" spans="1:2" ht="18" x14ac:dyDescent="0.2">
      <c r="A468" s="163">
        <v>45491</v>
      </c>
      <c r="B468" s="162">
        <v>124.59</v>
      </c>
    </row>
    <row r="469" spans="1:2" ht="18" x14ac:dyDescent="0.2">
      <c r="A469" s="163">
        <v>45490</v>
      </c>
      <c r="B469" s="162">
        <v>123.59</v>
      </c>
    </row>
    <row r="470" spans="1:2" ht="18" x14ac:dyDescent="0.2">
      <c r="A470" s="163">
        <v>45489</v>
      </c>
      <c r="B470" s="162">
        <v>129.21</v>
      </c>
    </row>
    <row r="471" spans="1:2" ht="18" x14ac:dyDescent="0.2">
      <c r="A471" s="163">
        <v>45488</v>
      </c>
      <c r="B471" s="162">
        <v>126.32</v>
      </c>
    </row>
    <row r="472" spans="1:2" ht="18" x14ac:dyDescent="0.2">
      <c r="A472" s="163">
        <v>45485</v>
      </c>
      <c r="B472" s="162">
        <v>122.8</v>
      </c>
    </row>
    <row r="473" spans="1:2" ht="18" x14ac:dyDescent="0.2">
      <c r="A473" s="163">
        <v>45484</v>
      </c>
      <c r="B473" s="162">
        <v>122.51</v>
      </c>
    </row>
    <row r="474" spans="1:2" ht="18" x14ac:dyDescent="0.2">
      <c r="A474" s="163">
        <v>45483</v>
      </c>
      <c r="B474" s="162">
        <v>124.95</v>
      </c>
    </row>
    <row r="475" spans="1:2" ht="18" x14ac:dyDescent="0.2">
      <c r="A475" s="163">
        <v>45482</v>
      </c>
      <c r="B475" s="162">
        <v>119.69</v>
      </c>
    </row>
    <row r="476" spans="1:2" ht="18" x14ac:dyDescent="0.2">
      <c r="A476" s="163">
        <v>45481</v>
      </c>
      <c r="B476" s="162">
        <v>120.82</v>
      </c>
    </row>
    <row r="477" spans="1:2" ht="18" x14ac:dyDescent="0.2">
      <c r="A477" s="163">
        <v>45478</v>
      </c>
      <c r="B477" s="162">
        <v>118.75</v>
      </c>
    </row>
    <row r="478" spans="1:2" ht="18" x14ac:dyDescent="0.2">
      <c r="A478" s="163">
        <v>45476</v>
      </c>
      <c r="B478" s="162">
        <v>117.13</v>
      </c>
    </row>
    <row r="479" spans="1:2" ht="18" x14ac:dyDescent="0.2">
      <c r="A479" s="163">
        <v>45475</v>
      </c>
      <c r="B479" s="162">
        <v>118.9</v>
      </c>
    </row>
    <row r="480" spans="1:2" ht="18" x14ac:dyDescent="0.2">
      <c r="A480" s="163">
        <v>45474</v>
      </c>
      <c r="B480" s="162">
        <v>117.81</v>
      </c>
    </row>
    <row r="481" spans="1:2" ht="18" x14ac:dyDescent="0.2">
      <c r="A481" s="163">
        <v>45471</v>
      </c>
      <c r="B481" s="162">
        <v>116.04</v>
      </c>
    </row>
    <row r="482" spans="1:2" ht="18" x14ac:dyDescent="0.2">
      <c r="A482" s="163">
        <v>45470</v>
      </c>
      <c r="B482" s="162">
        <v>112.39</v>
      </c>
    </row>
    <row r="483" spans="1:2" ht="18" x14ac:dyDescent="0.2">
      <c r="A483" s="163">
        <v>45469</v>
      </c>
      <c r="B483" s="162">
        <v>113.84</v>
      </c>
    </row>
    <row r="484" spans="1:2" ht="18" x14ac:dyDescent="0.2">
      <c r="A484" s="163">
        <v>45468</v>
      </c>
      <c r="B484" s="162">
        <v>115.43</v>
      </c>
    </row>
    <row r="485" spans="1:2" ht="18" x14ac:dyDescent="0.2">
      <c r="A485" s="163">
        <v>45467</v>
      </c>
      <c r="B485" s="162">
        <v>113.53</v>
      </c>
    </row>
    <row r="486" spans="1:2" ht="18" x14ac:dyDescent="0.2">
      <c r="A486" s="163">
        <v>45464</v>
      </c>
      <c r="B486" s="162">
        <v>113.52</v>
      </c>
    </row>
    <row r="487" spans="1:2" ht="18" x14ac:dyDescent="0.2">
      <c r="A487" s="163">
        <v>45463</v>
      </c>
      <c r="B487" s="162">
        <v>112.91</v>
      </c>
    </row>
    <row r="488" spans="1:2" ht="18" x14ac:dyDescent="0.2">
      <c r="A488" s="163">
        <v>45461</v>
      </c>
      <c r="B488" s="162">
        <v>114.71</v>
      </c>
    </row>
    <row r="489" spans="1:2" ht="18" x14ac:dyDescent="0.2">
      <c r="A489" s="163">
        <v>45460</v>
      </c>
      <c r="B489" s="162">
        <v>114.2</v>
      </c>
    </row>
    <row r="490" spans="1:2" ht="18" x14ac:dyDescent="0.2">
      <c r="A490" s="163">
        <v>45457</v>
      </c>
      <c r="B490" s="162">
        <v>112.38</v>
      </c>
    </row>
    <row r="491" spans="1:2" ht="18" x14ac:dyDescent="0.2">
      <c r="A491" s="163">
        <v>45456</v>
      </c>
      <c r="B491" s="162">
        <v>113.36</v>
      </c>
    </row>
    <row r="492" spans="1:2" ht="18" x14ac:dyDescent="0.2">
      <c r="A492" s="163">
        <v>45455</v>
      </c>
      <c r="B492" s="162">
        <v>108.72</v>
      </c>
    </row>
    <row r="493" spans="1:2" ht="18" x14ac:dyDescent="0.2">
      <c r="A493" s="163">
        <v>45454</v>
      </c>
      <c r="B493" s="162">
        <v>104.07</v>
      </c>
    </row>
    <row r="494" spans="1:2" ht="18" x14ac:dyDescent="0.2">
      <c r="A494" s="163">
        <v>45453</v>
      </c>
      <c r="B494" s="162">
        <v>102.36</v>
      </c>
    </row>
    <row r="495" spans="1:2" ht="18" x14ac:dyDescent="0.2">
      <c r="A495" s="163">
        <v>45450</v>
      </c>
      <c r="B495" s="162">
        <v>99.49</v>
      </c>
    </row>
    <row r="496" spans="1:2" ht="18" x14ac:dyDescent="0.2">
      <c r="A496" s="163">
        <v>45449</v>
      </c>
      <c r="B496" s="162">
        <v>99.98</v>
      </c>
    </row>
    <row r="497" spans="1:2" ht="18" x14ac:dyDescent="0.2">
      <c r="A497" s="163">
        <v>45448</v>
      </c>
      <c r="B497" s="162">
        <v>99.64</v>
      </c>
    </row>
    <row r="498" spans="1:2" ht="18" x14ac:dyDescent="0.2">
      <c r="A498" s="163">
        <v>45447</v>
      </c>
      <c r="B498" s="162">
        <v>97.7</v>
      </c>
    </row>
    <row r="499" spans="1:2" ht="18" x14ac:dyDescent="0.2">
      <c r="A499" s="163">
        <v>45446</v>
      </c>
      <c r="B499" s="162">
        <v>97.89</v>
      </c>
    </row>
    <row r="500" spans="1:2" ht="18" x14ac:dyDescent="0.2">
      <c r="A500" s="163">
        <v>45443</v>
      </c>
      <c r="B500" s="162">
        <v>98.39</v>
      </c>
    </row>
    <row r="501" spans="1:2" ht="18" x14ac:dyDescent="0.2">
      <c r="A501" s="163">
        <v>45442</v>
      </c>
      <c r="B501" s="162">
        <v>97.09</v>
      </c>
    </row>
    <row r="502" spans="1:2" ht="18" x14ac:dyDescent="0.2">
      <c r="A502" s="163">
        <v>45441</v>
      </c>
      <c r="B502" s="162">
        <v>96.28</v>
      </c>
    </row>
    <row r="503" spans="1:2" ht="18" x14ac:dyDescent="0.2">
      <c r="A503" s="163">
        <v>45440</v>
      </c>
      <c r="B503" s="162">
        <v>98.18</v>
      </c>
    </row>
    <row r="504" spans="1:2" ht="18" x14ac:dyDescent="0.2">
      <c r="A504" s="163">
        <v>45436</v>
      </c>
      <c r="B504" s="162">
        <v>98.29</v>
      </c>
    </row>
    <row r="505" spans="1:2" ht="18" x14ac:dyDescent="0.2">
      <c r="A505" s="163">
        <v>45435</v>
      </c>
      <c r="B505" s="162">
        <v>96.86</v>
      </c>
    </row>
    <row r="506" spans="1:2" ht="18" x14ac:dyDescent="0.2">
      <c r="A506" s="163">
        <v>45434</v>
      </c>
      <c r="B506" s="162">
        <v>99.55</v>
      </c>
    </row>
    <row r="507" spans="1:2" ht="18" x14ac:dyDescent="0.2">
      <c r="A507" s="163">
        <v>45433</v>
      </c>
      <c r="B507" s="162">
        <v>97.99</v>
      </c>
    </row>
    <row r="508" spans="1:2" ht="18" x14ac:dyDescent="0.2">
      <c r="A508" s="163">
        <v>45432</v>
      </c>
      <c r="B508" s="162">
        <v>98.68</v>
      </c>
    </row>
    <row r="509" spans="1:2" ht="18" x14ac:dyDescent="0.2">
      <c r="A509" s="163">
        <v>45429</v>
      </c>
      <c r="B509" s="162">
        <v>98.43</v>
      </c>
    </row>
    <row r="510" spans="1:2" ht="18" x14ac:dyDescent="0.2">
      <c r="A510" s="163">
        <v>45428</v>
      </c>
      <c r="B510" s="162">
        <v>99.51</v>
      </c>
    </row>
    <row r="511" spans="1:2" ht="18" x14ac:dyDescent="0.2">
      <c r="A511" s="163">
        <v>45427</v>
      </c>
      <c r="B511" s="162">
        <v>99.91</v>
      </c>
    </row>
    <row r="512" spans="1:2" ht="18" x14ac:dyDescent="0.2">
      <c r="A512" s="163">
        <v>45426</v>
      </c>
      <c r="B512" s="162">
        <v>99.05</v>
      </c>
    </row>
    <row r="513" spans="1:2" ht="18" x14ac:dyDescent="0.2">
      <c r="A513" s="163">
        <v>45425</v>
      </c>
      <c r="B513" s="162">
        <v>98.35</v>
      </c>
    </row>
    <row r="514" spans="1:2" ht="18" x14ac:dyDescent="0.2">
      <c r="A514" s="163">
        <v>45422</v>
      </c>
      <c r="B514" s="162">
        <v>97.69</v>
      </c>
    </row>
    <row r="515" spans="1:2" ht="18" x14ac:dyDescent="0.2">
      <c r="A515" s="163">
        <v>45421</v>
      </c>
      <c r="B515" s="162">
        <v>97.02</v>
      </c>
    </row>
    <row r="516" spans="1:2" ht="18" x14ac:dyDescent="0.2">
      <c r="A516" s="163">
        <v>45420</v>
      </c>
      <c r="B516" s="162">
        <v>96.02</v>
      </c>
    </row>
    <row r="517" spans="1:2" ht="18" x14ac:dyDescent="0.2">
      <c r="A517" s="163">
        <v>45419</v>
      </c>
      <c r="B517" s="162">
        <v>96.75</v>
      </c>
    </row>
    <row r="518" spans="1:2" ht="18" x14ac:dyDescent="0.2">
      <c r="A518" s="163">
        <v>45418</v>
      </c>
      <c r="B518" s="162">
        <v>96.21</v>
      </c>
    </row>
    <row r="519" spans="1:2" ht="18" x14ac:dyDescent="0.2">
      <c r="A519" s="163">
        <v>45415</v>
      </c>
      <c r="B519" s="162">
        <v>95.95</v>
      </c>
    </row>
    <row r="520" spans="1:2" ht="18" x14ac:dyDescent="0.2">
      <c r="A520" s="163">
        <v>45414</v>
      </c>
      <c r="B520" s="162">
        <v>95.67</v>
      </c>
    </row>
    <row r="521" spans="1:2" ht="18" x14ac:dyDescent="0.2">
      <c r="A521" s="163">
        <v>45413</v>
      </c>
      <c r="B521" s="162">
        <v>111.89</v>
      </c>
    </row>
    <row r="522" spans="1:2" ht="18" x14ac:dyDescent="0.2">
      <c r="A522" s="163">
        <v>45412</v>
      </c>
      <c r="B522" s="162">
        <v>116.84</v>
      </c>
    </row>
    <row r="523" spans="1:2" ht="18" x14ac:dyDescent="0.2">
      <c r="A523" s="163">
        <v>45411</v>
      </c>
      <c r="B523" s="162">
        <v>118.83</v>
      </c>
    </row>
    <row r="524" spans="1:2" ht="18" x14ac:dyDescent="0.2">
      <c r="A524" s="163">
        <v>45408</v>
      </c>
      <c r="B524" s="162">
        <v>116.75</v>
      </c>
    </row>
    <row r="525" spans="1:2" ht="18" x14ac:dyDescent="0.2">
      <c r="A525" s="163">
        <v>45407</v>
      </c>
      <c r="B525" s="162">
        <v>114.7</v>
      </c>
    </row>
    <row r="526" spans="1:2" ht="18" x14ac:dyDescent="0.2">
      <c r="A526" s="163">
        <v>45406</v>
      </c>
      <c r="B526" s="162">
        <v>112.15</v>
      </c>
    </row>
    <row r="527" spans="1:2" ht="18" x14ac:dyDescent="0.2">
      <c r="A527" s="163">
        <v>45405</v>
      </c>
      <c r="B527" s="162">
        <v>107.98</v>
      </c>
    </row>
    <row r="528" spans="1:2" ht="18" x14ac:dyDescent="0.2">
      <c r="A528" s="163">
        <v>45404</v>
      </c>
      <c r="B528" s="162">
        <v>107.12</v>
      </c>
    </row>
    <row r="529" spans="1:2" ht="18" x14ac:dyDescent="0.2">
      <c r="A529" s="163">
        <v>45401</v>
      </c>
      <c r="B529" s="162">
        <v>104.88</v>
      </c>
    </row>
    <row r="530" spans="1:2" ht="18" x14ac:dyDescent="0.2">
      <c r="A530" s="163">
        <v>45400</v>
      </c>
      <c r="B530" s="162">
        <v>107.84</v>
      </c>
    </row>
    <row r="531" spans="1:2" ht="18" x14ac:dyDescent="0.2">
      <c r="A531" s="163">
        <v>45399</v>
      </c>
      <c r="B531" s="162">
        <v>109.95</v>
      </c>
    </row>
    <row r="532" spans="1:2" ht="18" x14ac:dyDescent="0.2">
      <c r="A532" s="163">
        <v>45398</v>
      </c>
      <c r="B532" s="162">
        <v>111.15</v>
      </c>
    </row>
    <row r="533" spans="1:2" ht="18" x14ac:dyDescent="0.2">
      <c r="A533" s="163">
        <v>45397</v>
      </c>
      <c r="B533" s="162">
        <v>110.07</v>
      </c>
    </row>
    <row r="534" spans="1:2" ht="18" x14ac:dyDescent="0.2">
      <c r="A534" s="163">
        <v>45394</v>
      </c>
      <c r="B534" s="162">
        <v>111.36</v>
      </c>
    </row>
    <row r="535" spans="1:2" ht="18" x14ac:dyDescent="0.2">
      <c r="A535" s="163">
        <v>45393</v>
      </c>
      <c r="B535" s="162">
        <v>115.81</v>
      </c>
    </row>
    <row r="536" spans="1:2" ht="18" x14ac:dyDescent="0.2">
      <c r="A536" s="163">
        <v>45392</v>
      </c>
      <c r="B536" s="162">
        <v>113.38</v>
      </c>
    </row>
    <row r="537" spans="1:2" ht="18" x14ac:dyDescent="0.2">
      <c r="A537" s="163">
        <v>45391</v>
      </c>
      <c r="B537" s="162">
        <v>116.49</v>
      </c>
    </row>
    <row r="538" spans="1:2" ht="18" x14ac:dyDescent="0.2">
      <c r="A538" s="163">
        <v>45390</v>
      </c>
      <c r="B538" s="162">
        <v>114.46</v>
      </c>
    </row>
    <row r="539" spans="1:2" ht="18" x14ac:dyDescent="0.2">
      <c r="A539" s="163">
        <v>45387</v>
      </c>
      <c r="B539" s="162">
        <v>115.09</v>
      </c>
    </row>
    <row r="540" spans="1:2" ht="18" x14ac:dyDescent="0.2">
      <c r="A540" s="163">
        <v>45386</v>
      </c>
      <c r="B540" s="162">
        <v>113</v>
      </c>
    </row>
    <row r="541" spans="1:2" ht="18" x14ac:dyDescent="0.2">
      <c r="A541" s="163">
        <v>45385</v>
      </c>
      <c r="B541" s="162">
        <v>114.9</v>
      </c>
    </row>
    <row r="542" spans="1:2" ht="18" x14ac:dyDescent="0.2">
      <c r="A542" s="163">
        <v>45384</v>
      </c>
      <c r="B542" s="162">
        <v>113.8</v>
      </c>
    </row>
    <row r="543" spans="1:2" ht="18" x14ac:dyDescent="0.2">
      <c r="A543" s="163">
        <v>45383</v>
      </c>
      <c r="B543" s="162">
        <v>114.15</v>
      </c>
    </row>
    <row r="544" spans="1:2" ht="18" x14ac:dyDescent="0.2">
      <c r="A544" s="163">
        <v>45379</v>
      </c>
      <c r="B544" s="162">
        <v>114.83</v>
      </c>
    </row>
    <row r="545" spans="1:2" ht="18" x14ac:dyDescent="0.2">
      <c r="A545" s="163">
        <v>45378</v>
      </c>
      <c r="B545" s="162">
        <v>114.6</v>
      </c>
    </row>
    <row r="546" spans="1:2" ht="18" x14ac:dyDescent="0.2">
      <c r="A546" s="163">
        <v>45377</v>
      </c>
      <c r="B546" s="162">
        <v>112.64</v>
      </c>
    </row>
    <row r="547" spans="1:2" ht="18" x14ac:dyDescent="0.2">
      <c r="A547" s="163">
        <v>45376</v>
      </c>
      <c r="B547" s="162">
        <v>113.75</v>
      </c>
    </row>
    <row r="548" spans="1:2" ht="18" x14ac:dyDescent="0.2">
      <c r="A548" s="163">
        <v>45373</v>
      </c>
      <c r="B548" s="162">
        <v>114.38</v>
      </c>
    </row>
    <row r="549" spans="1:2" ht="18" x14ac:dyDescent="0.2">
      <c r="A549" s="163">
        <v>45372</v>
      </c>
      <c r="B549" s="162">
        <v>115.38</v>
      </c>
    </row>
    <row r="550" spans="1:2" ht="18" x14ac:dyDescent="0.2">
      <c r="A550" s="163">
        <v>45371</v>
      </c>
      <c r="B550" s="162">
        <v>113.52</v>
      </c>
    </row>
    <row r="551" spans="1:2" ht="18" x14ac:dyDescent="0.2">
      <c r="A551" s="163">
        <v>45370</v>
      </c>
      <c r="B551" s="162">
        <v>110.8</v>
      </c>
    </row>
    <row r="552" spans="1:2" ht="18" x14ac:dyDescent="0.2">
      <c r="A552" s="163">
        <v>45369</v>
      </c>
      <c r="B552" s="162">
        <v>111.28</v>
      </c>
    </row>
    <row r="553" spans="1:2" ht="18" x14ac:dyDescent="0.2">
      <c r="A553" s="163">
        <v>45366</v>
      </c>
      <c r="B553" s="162">
        <v>111.85</v>
      </c>
    </row>
    <row r="554" spans="1:2" ht="18" x14ac:dyDescent="0.2">
      <c r="A554" s="163">
        <v>45365</v>
      </c>
      <c r="B554" s="162">
        <v>113.58</v>
      </c>
    </row>
    <row r="555" spans="1:2" ht="18" x14ac:dyDescent="0.2">
      <c r="A555" s="163">
        <v>45364</v>
      </c>
      <c r="B555" s="162">
        <v>116.13</v>
      </c>
    </row>
    <row r="556" spans="1:2" ht="18" x14ac:dyDescent="0.2">
      <c r="A556" s="163">
        <v>45363</v>
      </c>
      <c r="B556" s="162">
        <v>120.17</v>
      </c>
    </row>
    <row r="557" spans="1:2" ht="18" x14ac:dyDescent="0.2">
      <c r="A557" s="163">
        <v>45362</v>
      </c>
      <c r="B557" s="162">
        <v>117.49</v>
      </c>
    </row>
    <row r="558" spans="1:2" ht="18" x14ac:dyDescent="0.2">
      <c r="A558" s="163">
        <v>45359</v>
      </c>
      <c r="B558" s="162">
        <v>116.07</v>
      </c>
    </row>
    <row r="559" spans="1:2" ht="18" x14ac:dyDescent="0.2">
      <c r="A559" s="163">
        <v>45358</v>
      </c>
      <c r="B559" s="162">
        <v>118.79</v>
      </c>
    </row>
    <row r="560" spans="1:2" ht="18" x14ac:dyDescent="0.2">
      <c r="A560" s="163">
        <v>45357</v>
      </c>
      <c r="B560" s="162">
        <v>115.89</v>
      </c>
    </row>
    <row r="561" spans="1:2" ht="18" x14ac:dyDescent="0.2">
      <c r="A561" s="163">
        <v>45356</v>
      </c>
      <c r="B561" s="162">
        <v>113.29</v>
      </c>
    </row>
    <row r="562" spans="1:2" ht="18" x14ac:dyDescent="0.2">
      <c r="A562" s="163">
        <v>45355</v>
      </c>
      <c r="B562" s="162">
        <v>120.22</v>
      </c>
    </row>
    <row r="563" spans="1:2" ht="18" x14ac:dyDescent="0.2">
      <c r="A563" s="163">
        <v>45352</v>
      </c>
      <c r="B563" s="162">
        <v>119.62</v>
      </c>
    </row>
    <row r="564" spans="1:2" ht="18" x14ac:dyDescent="0.2">
      <c r="A564" s="163">
        <v>45351</v>
      </c>
      <c r="B564" s="162">
        <v>114.55</v>
      </c>
    </row>
    <row r="565" spans="1:2" ht="18" x14ac:dyDescent="0.2">
      <c r="A565" s="163">
        <v>45350</v>
      </c>
      <c r="B565" s="162">
        <v>112.05</v>
      </c>
    </row>
    <row r="566" spans="1:2" ht="18" x14ac:dyDescent="0.2">
      <c r="A566" s="163">
        <v>45349</v>
      </c>
      <c r="B566" s="162">
        <v>114.01</v>
      </c>
    </row>
    <row r="567" spans="1:2" ht="18" x14ac:dyDescent="0.2">
      <c r="A567" s="163">
        <v>45348</v>
      </c>
      <c r="B567" s="162">
        <v>113.52</v>
      </c>
    </row>
    <row r="568" spans="1:2" ht="18" x14ac:dyDescent="0.2">
      <c r="A568" s="163">
        <v>45345</v>
      </c>
      <c r="B568" s="162">
        <v>112.8</v>
      </c>
    </row>
    <row r="569" spans="1:2" ht="18" x14ac:dyDescent="0.2">
      <c r="A569" s="163">
        <v>45344</v>
      </c>
      <c r="B569" s="162">
        <v>113.45</v>
      </c>
    </row>
    <row r="570" spans="1:2" ht="18" x14ac:dyDescent="0.2">
      <c r="A570" s="163">
        <v>45343</v>
      </c>
      <c r="B570" s="162">
        <v>111.89</v>
      </c>
    </row>
    <row r="571" spans="1:2" ht="18" x14ac:dyDescent="0.2">
      <c r="A571" s="163">
        <v>45342</v>
      </c>
      <c r="B571" s="162">
        <v>111.86</v>
      </c>
    </row>
    <row r="572" spans="1:2" ht="18" x14ac:dyDescent="0.2">
      <c r="A572" s="163">
        <v>45338</v>
      </c>
      <c r="B572" s="162">
        <v>112.17</v>
      </c>
    </row>
    <row r="573" spans="1:2" ht="18" x14ac:dyDescent="0.2">
      <c r="A573" s="163">
        <v>45337</v>
      </c>
      <c r="B573" s="162">
        <v>113.88</v>
      </c>
    </row>
    <row r="574" spans="1:2" ht="18" x14ac:dyDescent="0.2">
      <c r="A574" s="163">
        <v>45336</v>
      </c>
      <c r="B574" s="162">
        <v>113.59</v>
      </c>
    </row>
    <row r="575" spans="1:2" ht="18" x14ac:dyDescent="0.2">
      <c r="A575" s="163">
        <v>45335</v>
      </c>
      <c r="B575" s="162">
        <v>111.71</v>
      </c>
    </row>
    <row r="576" spans="1:2" ht="18" x14ac:dyDescent="0.2">
      <c r="A576" s="163">
        <v>45334</v>
      </c>
      <c r="B576" s="162">
        <v>113.73</v>
      </c>
    </row>
    <row r="577" spans="1:2" ht="18" x14ac:dyDescent="0.2">
      <c r="A577" s="163">
        <v>45331</v>
      </c>
      <c r="B577" s="162">
        <v>112.32</v>
      </c>
    </row>
    <row r="578" spans="1:2" ht="18" x14ac:dyDescent="0.2">
      <c r="A578" s="163">
        <v>45330</v>
      </c>
      <c r="B578" s="162">
        <v>112.62</v>
      </c>
    </row>
    <row r="579" spans="1:2" ht="18" x14ac:dyDescent="0.2">
      <c r="A579" s="163">
        <v>45329</v>
      </c>
      <c r="B579" s="162">
        <v>110.85</v>
      </c>
    </row>
    <row r="580" spans="1:2" ht="18" x14ac:dyDescent="0.2">
      <c r="A580" s="163">
        <v>45328</v>
      </c>
      <c r="B580" s="162">
        <v>108.61</v>
      </c>
    </row>
    <row r="581" spans="1:2" ht="18" x14ac:dyDescent="0.2">
      <c r="A581" s="163">
        <v>45327</v>
      </c>
      <c r="B581" s="162">
        <v>107.33</v>
      </c>
    </row>
    <row r="582" spans="1:2" ht="18" x14ac:dyDescent="0.2">
      <c r="A582" s="163">
        <v>45324</v>
      </c>
      <c r="B582" s="162">
        <v>103.59</v>
      </c>
    </row>
    <row r="583" spans="1:2" ht="18" x14ac:dyDescent="0.2">
      <c r="A583" s="163">
        <v>45323</v>
      </c>
      <c r="B583" s="162">
        <v>105.75</v>
      </c>
    </row>
    <row r="584" spans="1:2" ht="18" x14ac:dyDescent="0.2">
      <c r="A584" s="163">
        <v>45322</v>
      </c>
      <c r="B584" s="162">
        <v>99.74</v>
      </c>
    </row>
    <row r="585" spans="1:2" ht="18" x14ac:dyDescent="0.2">
      <c r="A585" s="163">
        <v>45321</v>
      </c>
      <c r="B585" s="162">
        <v>100.26</v>
      </c>
    </row>
    <row r="586" spans="1:2" ht="18" x14ac:dyDescent="0.2">
      <c r="A586" s="163">
        <v>45320</v>
      </c>
      <c r="B586" s="162">
        <v>103.7</v>
      </c>
    </row>
    <row r="587" spans="1:2" ht="18" x14ac:dyDescent="0.2">
      <c r="A587" s="163">
        <v>45317</v>
      </c>
      <c r="B587" s="162">
        <v>103.68</v>
      </c>
    </row>
    <row r="588" spans="1:2" ht="18" x14ac:dyDescent="0.2">
      <c r="A588" s="163">
        <v>45316</v>
      </c>
      <c r="B588" s="162">
        <v>106.44</v>
      </c>
    </row>
    <row r="589" spans="1:2" ht="18" x14ac:dyDescent="0.2">
      <c r="A589" s="163">
        <v>45315</v>
      </c>
      <c r="B589" s="162">
        <v>105.96</v>
      </c>
    </row>
    <row r="590" spans="1:2" ht="18" x14ac:dyDescent="0.2">
      <c r="A590" s="163">
        <v>45314</v>
      </c>
      <c r="B590" s="162">
        <v>107.77</v>
      </c>
    </row>
    <row r="591" spans="1:2" ht="18" x14ac:dyDescent="0.2">
      <c r="A591" s="163">
        <v>45313</v>
      </c>
      <c r="B591" s="162">
        <v>106.7</v>
      </c>
    </row>
    <row r="592" spans="1:2" ht="18" x14ac:dyDescent="0.2">
      <c r="A592" s="163">
        <v>45310</v>
      </c>
      <c r="B592" s="162">
        <v>105.56</v>
      </c>
    </row>
    <row r="593" spans="1:2" ht="18" x14ac:dyDescent="0.2">
      <c r="A593" s="163">
        <v>45309</v>
      </c>
      <c r="B593" s="162">
        <v>103.78</v>
      </c>
    </row>
    <row r="594" spans="1:2" ht="18" x14ac:dyDescent="0.2">
      <c r="A594" s="163">
        <v>45308</v>
      </c>
      <c r="B594" s="162">
        <v>99.89</v>
      </c>
    </row>
    <row r="595" spans="1:2" ht="18" x14ac:dyDescent="0.2">
      <c r="A595" s="163">
        <v>45307</v>
      </c>
      <c r="B595" s="162">
        <v>101.41</v>
      </c>
    </row>
    <row r="596" spans="1:2" ht="18" x14ac:dyDescent="0.2">
      <c r="A596" s="163">
        <v>45303</v>
      </c>
      <c r="B596" s="162">
        <v>102.3</v>
      </c>
    </row>
    <row r="597" spans="1:2" ht="18" x14ac:dyDescent="0.2">
      <c r="A597" s="163">
        <v>45302</v>
      </c>
      <c r="B597" s="162">
        <v>103.71</v>
      </c>
    </row>
    <row r="598" spans="1:2" ht="18" x14ac:dyDescent="0.2">
      <c r="A598" s="163">
        <v>45301</v>
      </c>
      <c r="B598" s="162">
        <v>104.49</v>
      </c>
    </row>
    <row r="599" spans="1:2" ht="18" x14ac:dyDescent="0.2">
      <c r="A599" s="163">
        <v>45300</v>
      </c>
      <c r="B599" s="162">
        <v>104</v>
      </c>
    </row>
    <row r="600" spans="1:2" ht="18" x14ac:dyDescent="0.2">
      <c r="A600" s="163">
        <v>45299</v>
      </c>
      <c r="B600" s="162">
        <v>105.39</v>
      </c>
    </row>
    <row r="601" spans="1:2" ht="18" x14ac:dyDescent="0.2">
      <c r="A601" s="163">
        <v>45296</v>
      </c>
      <c r="B601" s="162">
        <v>103.12</v>
      </c>
    </row>
    <row r="602" spans="1:2" ht="18" x14ac:dyDescent="0.2">
      <c r="A602" s="163">
        <v>45295</v>
      </c>
      <c r="B602" s="162">
        <v>102.99</v>
      </c>
    </row>
    <row r="603" spans="1:2" ht="18" x14ac:dyDescent="0.2">
      <c r="A603" s="163">
        <v>45294</v>
      </c>
      <c r="B603" s="162">
        <v>105.69</v>
      </c>
    </row>
    <row r="604" spans="1:2" ht="18" x14ac:dyDescent="0.2">
      <c r="A604" s="163">
        <v>45293</v>
      </c>
      <c r="B604" s="162">
        <v>108.91</v>
      </c>
    </row>
    <row r="605" spans="1:2" ht="18" x14ac:dyDescent="0.2">
      <c r="A605" s="163">
        <v>45289</v>
      </c>
      <c r="B605" s="162">
        <v>112.61</v>
      </c>
    </row>
    <row r="606" spans="1:2" ht="18" x14ac:dyDescent="0.2">
      <c r="A606" s="163">
        <v>45288</v>
      </c>
      <c r="B606" s="162">
        <v>114.18</v>
      </c>
    </row>
    <row r="607" spans="1:2" ht="18" x14ac:dyDescent="0.2">
      <c r="A607" s="163">
        <v>45287</v>
      </c>
      <c r="B607" s="162">
        <v>114.61</v>
      </c>
    </row>
    <row r="608" spans="1:2" ht="18" x14ac:dyDescent="0.2">
      <c r="A608" s="163">
        <v>45286</v>
      </c>
      <c r="B608" s="162">
        <v>114.38</v>
      </c>
    </row>
    <row r="609" spans="1:2" ht="18" x14ac:dyDescent="0.2">
      <c r="A609" s="163">
        <v>45282</v>
      </c>
      <c r="B609" s="162">
        <v>112.6</v>
      </c>
    </row>
    <row r="610" spans="1:2" ht="18" x14ac:dyDescent="0.2">
      <c r="A610" s="163">
        <v>45281</v>
      </c>
      <c r="B610" s="162">
        <v>111.21</v>
      </c>
    </row>
    <row r="611" spans="1:2" ht="18" x14ac:dyDescent="0.2">
      <c r="A611" s="163">
        <v>45280</v>
      </c>
      <c r="B611" s="162">
        <v>108.55</v>
      </c>
    </row>
    <row r="612" spans="1:2" ht="18" x14ac:dyDescent="0.2">
      <c r="A612" s="163">
        <v>45279</v>
      </c>
      <c r="B612" s="162">
        <v>111.49</v>
      </c>
    </row>
    <row r="613" spans="1:2" ht="18" x14ac:dyDescent="0.2">
      <c r="A613" s="163">
        <v>45278</v>
      </c>
      <c r="B613" s="162">
        <v>111.91</v>
      </c>
    </row>
    <row r="614" spans="1:2" ht="18" x14ac:dyDescent="0.2">
      <c r="A614" s="163">
        <v>45275</v>
      </c>
      <c r="B614" s="162">
        <v>112.26</v>
      </c>
    </row>
    <row r="615" spans="1:2" ht="18" x14ac:dyDescent="0.2">
      <c r="A615" s="163">
        <v>45274</v>
      </c>
      <c r="B615" s="162">
        <v>112.55</v>
      </c>
    </row>
    <row r="616" spans="1:2" ht="18" x14ac:dyDescent="0.2">
      <c r="A616" s="163">
        <v>45273</v>
      </c>
      <c r="B616" s="162">
        <v>108.32</v>
      </c>
    </row>
    <row r="617" spans="1:2" ht="18" x14ac:dyDescent="0.2">
      <c r="A617" s="163">
        <v>45272</v>
      </c>
      <c r="B617" s="162">
        <v>106.27</v>
      </c>
    </row>
    <row r="618" spans="1:2" ht="18" x14ac:dyDescent="0.2">
      <c r="A618" s="163">
        <v>45271</v>
      </c>
      <c r="B618" s="162">
        <v>106.04</v>
      </c>
    </row>
    <row r="619" spans="1:2" ht="18" x14ac:dyDescent="0.2">
      <c r="A619" s="163">
        <v>45268</v>
      </c>
      <c r="B619" s="162">
        <v>103.97</v>
      </c>
    </row>
    <row r="620" spans="1:2" ht="18" x14ac:dyDescent="0.2">
      <c r="A620" s="163">
        <v>45267</v>
      </c>
      <c r="B620" s="162">
        <v>100.32</v>
      </c>
    </row>
    <row r="621" spans="1:2" ht="18" x14ac:dyDescent="0.2">
      <c r="A621" s="163">
        <v>45266</v>
      </c>
      <c r="B621" s="162">
        <v>97.51</v>
      </c>
    </row>
    <row r="622" spans="1:2" ht="18" x14ac:dyDescent="0.2">
      <c r="A622" s="163">
        <v>45265</v>
      </c>
      <c r="B622" s="162">
        <v>97.11</v>
      </c>
    </row>
    <row r="623" spans="1:2" ht="18" x14ac:dyDescent="0.2">
      <c r="A623" s="163">
        <v>45264</v>
      </c>
      <c r="B623" s="162">
        <v>97.67</v>
      </c>
    </row>
    <row r="624" spans="1:2" ht="18" x14ac:dyDescent="0.2">
      <c r="A624" s="163">
        <v>45261</v>
      </c>
      <c r="B624" s="162">
        <v>97.42</v>
      </c>
    </row>
    <row r="625" spans="1:2" ht="18" x14ac:dyDescent="0.2">
      <c r="A625" s="163">
        <v>45260</v>
      </c>
      <c r="B625" s="162">
        <v>96.5</v>
      </c>
    </row>
    <row r="626" spans="1:2" ht="18" x14ac:dyDescent="0.2">
      <c r="A626" s="163">
        <v>45259</v>
      </c>
      <c r="B626" s="162">
        <v>95.89</v>
      </c>
    </row>
    <row r="627" spans="1:2" ht="18" x14ac:dyDescent="0.2">
      <c r="A627" s="163">
        <v>45258</v>
      </c>
      <c r="B627" s="162">
        <v>93.51</v>
      </c>
    </row>
    <row r="628" spans="1:2" ht="18" x14ac:dyDescent="0.2">
      <c r="A628" s="163">
        <v>45257</v>
      </c>
      <c r="B628" s="162">
        <v>93.34</v>
      </c>
    </row>
    <row r="629" spans="1:2" ht="18" x14ac:dyDescent="0.2">
      <c r="A629" s="163">
        <v>45254</v>
      </c>
      <c r="B629" s="162">
        <v>93.39</v>
      </c>
    </row>
    <row r="630" spans="1:2" ht="18" x14ac:dyDescent="0.2">
      <c r="A630" s="163">
        <v>45252</v>
      </c>
      <c r="B630" s="162">
        <v>93.35</v>
      </c>
    </row>
    <row r="631" spans="1:2" ht="18" x14ac:dyDescent="0.2">
      <c r="A631" s="163">
        <v>45251</v>
      </c>
      <c r="B631" s="162">
        <v>93.13</v>
      </c>
    </row>
    <row r="632" spans="1:2" ht="18" x14ac:dyDescent="0.2">
      <c r="A632" s="163">
        <v>45250</v>
      </c>
      <c r="B632" s="162">
        <v>95.14</v>
      </c>
    </row>
    <row r="633" spans="1:2" ht="18" x14ac:dyDescent="0.2">
      <c r="A633" s="163">
        <v>45247</v>
      </c>
      <c r="B633" s="162">
        <v>94.08</v>
      </c>
    </row>
    <row r="634" spans="1:2" ht="18" x14ac:dyDescent="0.2">
      <c r="A634" s="163">
        <v>45246</v>
      </c>
      <c r="B634" s="162">
        <v>93.86</v>
      </c>
    </row>
    <row r="635" spans="1:2" ht="18" x14ac:dyDescent="0.2">
      <c r="A635" s="163">
        <v>45245</v>
      </c>
      <c r="B635" s="162">
        <v>95.2</v>
      </c>
    </row>
    <row r="636" spans="1:2" ht="18" x14ac:dyDescent="0.2">
      <c r="A636" s="163">
        <v>45244</v>
      </c>
      <c r="B636" s="162">
        <v>94.62</v>
      </c>
    </row>
    <row r="637" spans="1:2" ht="18" x14ac:dyDescent="0.2">
      <c r="A637" s="163">
        <v>45243</v>
      </c>
      <c r="B637" s="162">
        <v>90.37</v>
      </c>
    </row>
    <row r="638" spans="1:2" ht="18" x14ac:dyDescent="0.2">
      <c r="A638" s="163">
        <v>45240</v>
      </c>
      <c r="B638" s="162">
        <v>91.66</v>
      </c>
    </row>
    <row r="639" spans="1:2" ht="18" x14ac:dyDescent="0.2">
      <c r="A639" s="163">
        <v>45239</v>
      </c>
      <c r="B639" s="162">
        <v>87.43</v>
      </c>
    </row>
    <row r="640" spans="1:2" ht="18" x14ac:dyDescent="0.2">
      <c r="A640" s="163">
        <v>45238</v>
      </c>
      <c r="B640" s="162">
        <v>87.94</v>
      </c>
    </row>
    <row r="641" spans="1:2" ht="18" x14ac:dyDescent="0.2">
      <c r="A641" s="163">
        <v>45237</v>
      </c>
      <c r="B641" s="162">
        <v>88.12</v>
      </c>
    </row>
    <row r="642" spans="1:2" ht="18" x14ac:dyDescent="0.2">
      <c r="A642" s="163">
        <v>45236</v>
      </c>
      <c r="B642" s="162">
        <v>88.14</v>
      </c>
    </row>
    <row r="643" spans="1:2" ht="18" x14ac:dyDescent="0.2">
      <c r="A643" s="163">
        <v>45233</v>
      </c>
      <c r="B643" s="162">
        <v>88.33</v>
      </c>
    </row>
    <row r="644" spans="1:2" ht="18" x14ac:dyDescent="0.2">
      <c r="A644" s="163">
        <v>45232</v>
      </c>
      <c r="B644" s="162">
        <v>85.48</v>
      </c>
    </row>
    <row r="645" spans="1:2" ht="18" x14ac:dyDescent="0.2">
      <c r="A645" s="163">
        <v>45231</v>
      </c>
      <c r="B645" s="162">
        <v>87.82</v>
      </c>
    </row>
    <row r="646" spans="1:2" ht="18" x14ac:dyDescent="0.2">
      <c r="A646" s="163">
        <v>45230</v>
      </c>
      <c r="B646" s="162">
        <v>87.42</v>
      </c>
    </row>
    <row r="647" spans="1:2" ht="18" x14ac:dyDescent="0.2">
      <c r="A647" s="163">
        <v>45229</v>
      </c>
      <c r="B647" s="162">
        <v>86.07</v>
      </c>
    </row>
    <row r="648" spans="1:2" ht="18" x14ac:dyDescent="0.2">
      <c r="A648" s="163">
        <v>45226</v>
      </c>
      <c r="B648" s="162">
        <v>86.47</v>
      </c>
    </row>
    <row r="649" spans="1:2" ht="18" x14ac:dyDescent="0.2">
      <c r="A649" s="163">
        <v>45225</v>
      </c>
      <c r="B649" s="162">
        <v>86.28</v>
      </c>
    </row>
    <row r="650" spans="1:2" ht="18" x14ac:dyDescent="0.2">
      <c r="A650" s="163">
        <v>45224</v>
      </c>
      <c r="B650" s="162">
        <v>86.2</v>
      </c>
    </row>
    <row r="651" spans="1:2" ht="18" x14ac:dyDescent="0.2">
      <c r="A651" s="163">
        <v>45223</v>
      </c>
      <c r="B651" s="162">
        <v>88.84</v>
      </c>
    </row>
    <row r="652" spans="1:2" ht="18" x14ac:dyDescent="0.2">
      <c r="A652" s="163">
        <v>45222</v>
      </c>
      <c r="B652" s="162">
        <v>88.39</v>
      </c>
    </row>
    <row r="653" spans="1:2" ht="18" x14ac:dyDescent="0.2">
      <c r="A653" s="163">
        <v>45219</v>
      </c>
      <c r="B653" s="162">
        <v>90</v>
      </c>
    </row>
    <row r="654" spans="1:2" ht="18" x14ac:dyDescent="0.2">
      <c r="A654" s="163">
        <v>45218</v>
      </c>
      <c r="B654" s="162">
        <v>90.98</v>
      </c>
    </row>
    <row r="655" spans="1:2" ht="18" x14ac:dyDescent="0.2">
      <c r="A655" s="163">
        <v>45217</v>
      </c>
      <c r="B655" s="162">
        <v>91.7</v>
      </c>
    </row>
    <row r="656" spans="1:2" ht="18" x14ac:dyDescent="0.2">
      <c r="A656" s="163">
        <v>45216</v>
      </c>
      <c r="B656" s="162">
        <v>92.76</v>
      </c>
    </row>
    <row r="657" spans="1:2" ht="18" x14ac:dyDescent="0.2">
      <c r="A657" s="163">
        <v>45215</v>
      </c>
      <c r="B657" s="162">
        <v>92.22</v>
      </c>
    </row>
    <row r="658" spans="1:2" ht="18" x14ac:dyDescent="0.2">
      <c r="A658" s="163">
        <v>45212</v>
      </c>
      <c r="B658" s="162">
        <v>90.92</v>
      </c>
    </row>
    <row r="659" spans="1:2" ht="18" x14ac:dyDescent="0.2">
      <c r="A659" s="163">
        <v>45211</v>
      </c>
      <c r="B659" s="162">
        <v>92.99</v>
      </c>
    </row>
    <row r="660" spans="1:2" ht="18" x14ac:dyDescent="0.2">
      <c r="A660" s="163">
        <v>45210</v>
      </c>
      <c r="B660" s="162">
        <v>93.42</v>
      </c>
    </row>
    <row r="661" spans="1:2" ht="18" x14ac:dyDescent="0.2">
      <c r="A661" s="163">
        <v>45209</v>
      </c>
      <c r="B661" s="162">
        <v>93.26</v>
      </c>
    </row>
    <row r="662" spans="1:2" ht="18" x14ac:dyDescent="0.2">
      <c r="A662" s="163">
        <v>45208</v>
      </c>
      <c r="B662" s="162">
        <v>94.9</v>
      </c>
    </row>
    <row r="663" spans="1:2" ht="18" x14ac:dyDescent="0.2">
      <c r="A663" s="163">
        <v>45205</v>
      </c>
      <c r="B663" s="162">
        <v>94.83</v>
      </c>
    </row>
    <row r="664" spans="1:2" ht="18" x14ac:dyDescent="0.2">
      <c r="A664" s="163">
        <v>45204</v>
      </c>
      <c r="B664" s="162">
        <v>93.92</v>
      </c>
    </row>
    <row r="665" spans="1:2" ht="18" x14ac:dyDescent="0.2">
      <c r="A665" s="163">
        <v>45203</v>
      </c>
      <c r="B665" s="162">
        <v>94.1</v>
      </c>
    </row>
    <row r="666" spans="1:2" ht="18" x14ac:dyDescent="0.2">
      <c r="A666" s="163">
        <v>45202</v>
      </c>
      <c r="B666" s="162">
        <v>93.73</v>
      </c>
    </row>
    <row r="667" spans="1:2" ht="18" x14ac:dyDescent="0.2">
      <c r="A667" s="163">
        <v>45201</v>
      </c>
      <c r="B667" s="162">
        <v>95.12</v>
      </c>
    </row>
    <row r="668" spans="1:2" ht="18" x14ac:dyDescent="0.2">
      <c r="A668" s="163">
        <v>45198</v>
      </c>
      <c r="B668" s="162">
        <v>95.47</v>
      </c>
    </row>
    <row r="669" spans="1:2" ht="18" x14ac:dyDescent="0.2">
      <c r="A669" s="163">
        <v>45197</v>
      </c>
      <c r="B669" s="162">
        <v>95.47</v>
      </c>
    </row>
    <row r="670" spans="1:2" ht="18" x14ac:dyDescent="0.2">
      <c r="A670" s="163">
        <v>45196</v>
      </c>
      <c r="B670" s="162">
        <v>94.56</v>
      </c>
    </row>
    <row r="671" spans="1:2" ht="18" x14ac:dyDescent="0.2">
      <c r="A671" s="163">
        <v>45195</v>
      </c>
      <c r="B671" s="162">
        <v>94.81</v>
      </c>
    </row>
    <row r="672" spans="1:2" ht="18" x14ac:dyDescent="0.2">
      <c r="A672" s="163">
        <v>45194</v>
      </c>
      <c r="B672" s="162">
        <v>96.5</v>
      </c>
    </row>
    <row r="673" spans="1:2" ht="18" x14ac:dyDescent="0.2">
      <c r="A673" s="163">
        <v>45191</v>
      </c>
      <c r="B673" s="162">
        <v>94.13</v>
      </c>
    </row>
    <row r="674" spans="1:2" ht="18" x14ac:dyDescent="0.2">
      <c r="A674" s="163">
        <v>45190</v>
      </c>
      <c r="B674" s="162">
        <v>94.55</v>
      </c>
    </row>
    <row r="675" spans="1:2" ht="18" x14ac:dyDescent="0.2">
      <c r="A675" s="163">
        <v>45189</v>
      </c>
      <c r="B675" s="162">
        <v>95.21</v>
      </c>
    </row>
    <row r="676" spans="1:2" ht="18" x14ac:dyDescent="0.2">
      <c r="A676" s="163">
        <v>45188</v>
      </c>
      <c r="B676" s="162">
        <v>95.65</v>
      </c>
    </row>
    <row r="677" spans="1:2" ht="18" x14ac:dyDescent="0.2">
      <c r="A677" s="163">
        <v>45187</v>
      </c>
      <c r="B677" s="162">
        <v>96.87</v>
      </c>
    </row>
    <row r="678" spans="1:2" ht="18" x14ac:dyDescent="0.2">
      <c r="A678" s="163">
        <v>45184</v>
      </c>
      <c r="B678" s="162">
        <v>95.93</v>
      </c>
    </row>
    <row r="679" spans="1:2" ht="18" x14ac:dyDescent="0.2">
      <c r="A679" s="163">
        <v>45183</v>
      </c>
      <c r="B679" s="162">
        <v>96.1</v>
      </c>
    </row>
    <row r="680" spans="1:2" ht="18" x14ac:dyDescent="0.2">
      <c r="A680" s="163">
        <v>45182</v>
      </c>
      <c r="B680" s="162">
        <v>94.34</v>
      </c>
    </row>
    <row r="681" spans="1:2" ht="18" x14ac:dyDescent="0.2">
      <c r="A681" s="163">
        <v>45181</v>
      </c>
      <c r="B681" s="162">
        <v>94.51</v>
      </c>
    </row>
    <row r="682" spans="1:2" ht="18" x14ac:dyDescent="0.2">
      <c r="A682" s="163">
        <v>45180</v>
      </c>
      <c r="B682" s="162">
        <v>97.21</v>
      </c>
    </row>
    <row r="683" spans="1:2" ht="18" x14ac:dyDescent="0.2">
      <c r="A683" s="163">
        <v>45177</v>
      </c>
      <c r="B683" s="162">
        <v>99.34</v>
      </c>
    </row>
    <row r="684" spans="1:2" ht="18" x14ac:dyDescent="0.2">
      <c r="A684" s="163">
        <v>45176</v>
      </c>
      <c r="B684" s="162">
        <v>98.72</v>
      </c>
    </row>
    <row r="685" spans="1:2" ht="18" x14ac:dyDescent="0.2">
      <c r="A685" s="163">
        <v>45175</v>
      </c>
      <c r="B685" s="162">
        <v>106.24</v>
      </c>
    </row>
    <row r="686" spans="1:2" ht="18" x14ac:dyDescent="0.2">
      <c r="A686" s="163">
        <v>45174</v>
      </c>
      <c r="B686" s="162">
        <v>107.17</v>
      </c>
    </row>
    <row r="687" spans="1:2" ht="18" x14ac:dyDescent="0.2">
      <c r="A687" s="163">
        <v>45170</v>
      </c>
      <c r="B687" s="162">
        <v>108.45</v>
      </c>
    </row>
    <row r="688" spans="1:2" ht="18" x14ac:dyDescent="0.2">
      <c r="A688" s="163">
        <v>45169</v>
      </c>
      <c r="B688" s="162">
        <v>107.39</v>
      </c>
    </row>
    <row r="689" spans="1:2" ht="18" x14ac:dyDescent="0.2">
      <c r="A689" s="163">
        <v>45168</v>
      </c>
      <c r="B689" s="162">
        <v>106.46</v>
      </c>
    </row>
    <row r="690" spans="1:2" ht="18" x14ac:dyDescent="0.2">
      <c r="A690" s="163">
        <v>45167</v>
      </c>
      <c r="B690" s="162">
        <v>105.75</v>
      </c>
    </row>
    <row r="691" spans="1:2" ht="18" x14ac:dyDescent="0.2">
      <c r="A691" s="163">
        <v>45166</v>
      </c>
      <c r="B691" s="162">
        <v>103.78</v>
      </c>
    </row>
    <row r="692" spans="1:2" ht="18" x14ac:dyDescent="0.2">
      <c r="A692" s="163">
        <v>45163</v>
      </c>
      <c r="B692" s="162">
        <v>101.53</v>
      </c>
    </row>
    <row r="693" spans="1:2" ht="18" x14ac:dyDescent="0.2">
      <c r="A693" s="163">
        <v>45162</v>
      </c>
      <c r="B693" s="162">
        <v>99.73</v>
      </c>
    </row>
    <row r="694" spans="1:2" ht="18" x14ac:dyDescent="0.2">
      <c r="A694" s="163">
        <v>45161</v>
      </c>
      <c r="B694" s="162">
        <v>102.22</v>
      </c>
    </row>
    <row r="695" spans="1:2" ht="18" x14ac:dyDescent="0.2">
      <c r="A695" s="163">
        <v>45160</v>
      </c>
      <c r="B695" s="162">
        <v>100.16</v>
      </c>
    </row>
    <row r="696" spans="1:2" ht="18" x14ac:dyDescent="0.2">
      <c r="A696" s="163">
        <v>45159</v>
      </c>
      <c r="B696" s="162">
        <v>100.62</v>
      </c>
    </row>
    <row r="697" spans="1:2" ht="18" x14ac:dyDescent="0.2">
      <c r="A697" s="163">
        <v>45156</v>
      </c>
      <c r="B697" s="162">
        <v>98.96</v>
      </c>
    </row>
    <row r="698" spans="1:2" ht="18" x14ac:dyDescent="0.2">
      <c r="A698" s="163">
        <v>45155</v>
      </c>
      <c r="B698" s="162">
        <v>98.25</v>
      </c>
    </row>
    <row r="699" spans="1:2" ht="18" x14ac:dyDescent="0.2">
      <c r="A699" s="163">
        <v>45154</v>
      </c>
      <c r="B699" s="162">
        <v>97.22</v>
      </c>
    </row>
    <row r="700" spans="1:2" ht="18" x14ac:dyDescent="0.2">
      <c r="A700" s="163">
        <v>45153</v>
      </c>
      <c r="B700" s="162">
        <v>99.52</v>
      </c>
    </row>
    <row r="701" spans="1:2" ht="18" x14ac:dyDescent="0.2">
      <c r="A701" s="163">
        <v>45152</v>
      </c>
      <c r="B701" s="162">
        <v>103.19</v>
      </c>
    </row>
    <row r="702" spans="1:2" ht="18" x14ac:dyDescent="0.2">
      <c r="A702" s="163">
        <v>45149</v>
      </c>
      <c r="B702" s="162">
        <v>101.88</v>
      </c>
    </row>
    <row r="703" spans="1:2" ht="18" x14ac:dyDescent="0.2">
      <c r="A703" s="163">
        <v>45148</v>
      </c>
      <c r="B703" s="162">
        <v>104.36</v>
      </c>
    </row>
    <row r="704" spans="1:2" ht="18" x14ac:dyDescent="0.2">
      <c r="A704" s="163">
        <v>45147</v>
      </c>
      <c r="B704" s="162">
        <v>105.1</v>
      </c>
    </row>
    <row r="705" spans="1:2" ht="18" x14ac:dyDescent="0.2">
      <c r="A705" s="163">
        <v>45146</v>
      </c>
      <c r="B705" s="162">
        <v>106.2</v>
      </c>
    </row>
    <row r="706" spans="1:2" ht="18" x14ac:dyDescent="0.2">
      <c r="A706" s="163">
        <v>45145</v>
      </c>
      <c r="B706" s="162">
        <v>106.72</v>
      </c>
    </row>
    <row r="707" spans="1:2" ht="18" x14ac:dyDescent="0.2">
      <c r="A707" s="163">
        <v>45142</v>
      </c>
      <c r="B707" s="162">
        <v>106.88</v>
      </c>
    </row>
    <row r="708" spans="1:2" ht="18" x14ac:dyDescent="0.2">
      <c r="A708" s="163">
        <v>45141</v>
      </c>
      <c r="B708" s="162">
        <v>105.84</v>
      </c>
    </row>
    <row r="709" spans="1:2" ht="18" x14ac:dyDescent="0.2">
      <c r="A709" s="163">
        <v>45140</v>
      </c>
      <c r="B709" s="162">
        <v>106.11</v>
      </c>
    </row>
    <row r="710" spans="1:2" ht="18" x14ac:dyDescent="0.2">
      <c r="A710" s="163">
        <v>45139</v>
      </c>
      <c r="B710" s="162">
        <v>110.21</v>
      </c>
    </row>
    <row r="711" spans="1:2" ht="18" x14ac:dyDescent="0.2">
      <c r="A711" s="163">
        <v>45138</v>
      </c>
      <c r="B711" s="162">
        <v>110.02</v>
      </c>
    </row>
    <row r="712" spans="1:2" ht="18" x14ac:dyDescent="0.2">
      <c r="A712" s="163">
        <v>45135</v>
      </c>
      <c r="B712" s="162">
        <v>109.49</v>
      </c>
    </row>
    <row r="713" spans="1:2" ht="18" x14ac:dyDescent="0.2">
      <c r="A713" s="163">
        <v>45134</v>
      </c>
      <c r="B713" s="162">
        <v>106.98</v>
      </c>
    </row>
    <row r="714" spans="1:2" ht="18" x14ac:dyDescent="0.2">
      <c r="A714" s="163">
        <v>45133</v>
      </c>
      <c r="B714" s="162">
        <v>106.97</v>
      </c>
    </row>
    <row r="715" spans="1:2" ht="18" x14ac:dyDescent="0.2">
      <c r="A715" s="163">
        <v>45132</v>
      </c>
      <c r="B715" s="162">
        <v>107.13</v>
      </c>
    </row>
    <row r="716" spans="1:2" ht="18" x14ac:dyDescent="0.2">
      <c r="A716" s="163">
        <v>45131</v>
      </c>
      <c r="B716" s="162">
        <v>106.75</v>
      </c>
    </row>
    <row r="717" spans="1:2" ht="18" x14ac:dyDescent="0.2">
      <c r="A717" s="163">
        <v>45128</v>
      </c>
      <c r="B717" s="162">
        <v>107.09</v>
      </c>
    </row>
    <row r="718" spans="1:2" ht="18" x14ac:dyDescent="0.2">
      <c r="A718" s="163">
        <v>45127</v>
      </c>
      <c r="B718" s="162">
        <v>104.79</v>
      </c>
    </row>
    <row r="719" spans="1:2" ht="18" x14ac:dyDescent="0.2">
      <c r="A719" s="163">
        <v>45126</v>
      </c>
      <c r="B719" s="162">
        <v>105.84</v>
      </c>
    </row>
    <row r="720" spans="1:2" ht="18" x14ac:dyDescent="0.2">
      <c r="A720" s="163">
        <v>45125</v>
      </c>
      <c r="B720" s="162">
        <v>106.77</v>
      </c>
    </row>
    <row r="721" spans="1:2" ht="18" x14ac:dyDescent="0.2">
      <c r="A721" s="163">
        <v>45124</v>
      </c>
      <c r="B721" s="162">
        <v>107.38</v>
      </c>
    </row>
    <row r="722" spans="1:2" ht="18" x14ac:dyDescent="0.2">
      <c r="A722" s="163">
        <v>45121</v>
      </c>
      <c r="B722" s="162">
        <v>104.87</v>
      </c>
    </row>
    <row r="723" spans="1:2" ht="18" x14ac:dyDescent="0.2">
      <c r="A723" s="163">
        <v>45120</v>
      </c>
      <c r="B723" s="162">
        <v>106.87</v>
      </c>
    </row>
    <row r="724" spans="1:2" ht="18" x14ac:dyDescent="0.2">
      <c r="A724" s="163">
        <v>45119</v>
      </c>
      <c r="B724" s="162">
        <v>105.32</v>
      </c>
    </row>
    <row r="725" spans="1:2" ht="18" x14ac:dyDescent="0.2">
      <c r="A725" s="163">
        <v>45118</v>
      </c>
      <c r="B725" s="162">
        <v>104.08</v>
      </c>
    </row>
    <row r="726" spans="1:2" ht="18" x14ac:dyDescent="0.2">
      <c r="A726" s="163">
        <v>45117</v>
      </c>
      <c r="B726" s="162">
        <v>103.84</v>
      </c>
    </row>
    <row r="727" spans="1:2" ht="18" x14ac:dyDescent="0.2">
      <c r="A727" s="163">
        <v>45114</v>
      </c>
      <c r="B727" s="162">
        <v>100.23</v>
      </c>
    </row>
    <row r="728" spans="1:2" ht="18" x14ac:dyDescent="0.2">
      <c r="A728" s="163">
        <v>45113</v>
      </c>
      <c r="B728" s="162">
        <v>98.54</v>
      </c>
    </row>
    <row r="729" spans="1:2" ht="18" x14ac:dyDescent="0.2">
      <c r="A729" s="163">
        <v>45112</v>
      </c>
      <c r="B729" s="162">
        <v>97.59</v>
      </c>
    </row>
    <row r="730" spans="1:2" ht="18" x14ac:dyDescent="0.2">
      <c r="A730" s="163">
        <v>45110</v>
      </c>
      <c r="B730" s="162">
        <v>103.12</v>
      </c>
    </row>
    <row r="731" spans="1:2" ht="18" x14ac:dyDescent="0.2">
      <c r="A731" s="163">
        <v>45107</v>
      </c>
      <c r="B731" s="162">
        <v>102.03</v>
      </c>
    </row>
    <row r="732" spans="1:2" ht="18" x14ac:dyDescent="0.2">
      <c r="A732" s="163">
        <v>45106</v>
      </c>
      <c r="B732" s="162">
        <v>101.34</v>
      </c>
    </row>
    <row r="733" spans="1:2" ht="18" x14ac:dyDescent="0.2">
      <c r="A733" s="163">
        <v>45105</v>
      </c>
      <c r="B733" s="162">
        <v>100.66</v>
      </c>
    </row>
    <row r="734" spans="1:2" ht="18" x14ac:dyDescent="0.2">
      <c r="A734" s="163">
        <v>45104</v>
      </c>
      <c r="B734" s="162">
        <v>102.03</v>
      </c>
    </row>
    <row r="735" spans="1:2" ht="18" x14ac:dyDescent="0.2">
      <c r="A735" s="163">
        <v>45103</v>
      </c>
      <c r="B735" s="162">
        <v>98.77</v>
      </c>
    </row>
    <row r="736" spans="1:2" ht="18" x14ac:dyDescent="0.2">
      <c r="A736" s="163">
        <v>45100</v>
      </c>
      <c r="B736" s="162">
        <v>97.32</v>
      </c>
    </row>
    <row r="737" spans="1:2" ht="18" x14ac:dyDescent="0.2">
      <c r="A737" s="163">
        <v>45099</v>
      </c>
      <c r="B737" s="162">
        <v>101.02</v>
      </c>
    </row>
    <row r="738" spans="1:2" ht="18" x14ac:dyDescent="0.2">
      <c r="A738" s="163">
        <v>45098</v>
      </c>
      <c r="B738" s="162">
        <v>100.8</v>
      </c>
    </row>
    <row r="739" spans="1:2" ht="18" x14ac:dyDescent="0.2">
      <c r="A739" s="163">
        <v>45097</v>
      </c>
      <c r="B739" s="162">
        <v>102.86</v>
      </c>
    </row>
    <row r="740" spans="1:2" ht="18" x14ac:dyDescent="0.2">
      <c r="A740" s="163">
        <v>45093</v>
      </c>
      <c r="B740" s="162">
        <v>102.62</v>
      </c>
    </row>
    <row r="741" spans="1:2" ht="18" x14ac:dyDescent="0.2">
      <c r="A741" s="163">
        <v>45092</v>
      </c>
      <c r="B741" s="162">
        <v>102.51</v>
      </c>
    </row>
    <row r="742" spans="1:2" ht="18" x14ac:dyDescent="0.2">
      <c r="A742" s="163">
        <v>45091</v>
      </c>
      <c r="B742" s="162">
        <v>103.6</v>
      </c>
    </row>
    <row r="743" spans="1:2" ht="18" x14ac:dyDescent="0.2">
      <c r="A743" s="163">
        <v>45090</v>
      </c>
      <c r="B743" s="162">
        <v>102.88</v>
      </c>
    </row>
    <row r="744" spans="1:2" ht="18" x14ac:dyDescent="0.2">
      <c r="A744" s="163">
        <v>45089</v>
      </c>
      <c r="B744" s="162">
        <v>100.6</v>
      </c>
    </row>
    <row r="745" spans="1:2" ht="18" x14ac:dyDescent="0.2">
      <c r="A745" s="163">
        <v>45086</v>
      </c>
      <c r="B745" s="162">
        <v>98.36</v>
      </c>
    </row>
    <row r="746" spans="1:2" ht="18" x14ac:dyDescent="0.2">
      <c r="A746" s="163">
        <v>45085</v>
      </c>
      <c r="B746" s="162">
        <v>99.04</v>
      </c>
    </row>
    <row r="747" spans="1:2" ht="18" x14ac:dyDescent="0.2">
      <c r="A747" s="163">
        <v>45084</v>
      </c>
      <c r="B747" s="162">
        <v>98.76</v>
      </c>
    </row>
    <row r="748" spans="1:2" ht="18" x14ac:dyDescent="0.2">
      <c r="A748" s="163">
        <v>45083</v>
      </c>
      <c r="B748" s="162">
        <v>96.87</v>
      </c>
    </row>
    <row r="749" spans="1:2" ht="18" x14ac:dyDescent="0.2">
      <c r="A749" s="163">
        <v>45082</v>
      </c>
      <c r="B749" s="162">
        <v>95.9</v>
      </c>
    </row>
    <row r="750" spans="1:2" ht="18" x14ac:dyDescent="0.2">
      <c r="A750" s="163">
        <v>45079</v>
      </c>
      <c r="B750" s="162">
        <v>98.04</v>
      </c>
    </row>
    <row r="751" spans="1:2" ht="18" x14ac:dyDescent="0.2">
      <c r="A751" s="163">
        <v>45078</v>
      </c>
      <c r="B751" s="162">
        <v>98.43</v>
      </c>
    </row>
    <row r="752" spans="1:2" ht="18" x14ac:dyDescent="0.2">
      <c r="A752" s="163">
        <v>45077</v>
      </c>
      <c r="B752" s="162">
        <v>97.26</v>
      </c>
    </row>
    <row r="753" spans="1:2" ht="18" x14ac:dyDescent="0.2">
      <c r="A753" s="163">
        <v>45076</v>
      </c>
      <c r="B753" s="162">
        <v>99.28</v>
      </c>
    </row>
    <row r="754" spans="1:2" ht="18" x14ac:dyDescent="0.2">
      <c r="A754" s="163">
        <v>45072</v>
      </c>
      <c r="B754" s="162">
        <v>100.04</v>
      </c>
    </row>
    <row r="755" spans="1:2" ht="18" x14ac:dyDescent="0.2">
      <c r="A755" s="163">
        <v>45071</v>
      </c>
      <c r="B755" s="162">
        <v>94.29</v>
      </c>
    </row>
    <row r="756" spans="1:2" ht="18" x14ac:dyDescent="0.2">
      <c r="A756" s="163">
        <v>45070</v>
      </c>
      <c r="B756" s="162">
        <v>93.75</v>
      </c>
    </row>
    <row r="757" spans="1:2" ht="18" x14ac:dyDescent="0.2">
      <c r="A757" s="163">
        <v>45069</v>
      </c>
      <c r="B757" s="162">
        <v>94.12</v>
      </c>
    </row>
    <row r="758" spans="1:2" ht="18" x14ac:dyDescent="0.2">
      <c r="A758" s="163">
        <v>45068</v>
      </c>
      <c r="B758" s="162">
        <v>96.12</v>
      </c>
    </row>
    <row r="759" spans="1:2" ht="18" x14ac:dyDescent="0.2">
      <c r="A759" s="163">
        <v>45065</v>
      </c>
      <c r="B759" s="162">
        <v>95.04</v>
      </c>
    </row>
    <row r="760" spans="1:2" ht="18" x14ac:dyDescent="0.2">
      <c r="A760" s="163">
        <v>45064</v>
      </c>
      <c r="B760" s="162">
        <v>95.02</v>
      </c>
    </row>
    <row r="761" spans="1:2" ht="18" x14ac:dyDescent="0.2">
      <c r="A761" s="163">
        <v>45063</v>
      </c>
      <c r="B761" s="162">
        <v>92.48</v>
      </c>
    </row>
    <row r="762" spans="1:2" ht="18" x14ac:dyDescent="0.2">
      <c r="A762" s="163">
        <v>45062</v>
      </c>
      <c r="B762" s="162">
        <v>90.59</v>
      </c>
    </row>
    <row r="763" spans="1:2" ht="18" x14ac:dyDescent="0.2">
      <c r="A763" s="163">
        <v>45061</v>
      </c>
      <c r="B763" s="162">
        <v>93.02</v>
      </c>
    </row>
    <row r="764" spans="1:2" ht="18" x14ac:dyDescent="0.2">
      <c r="A764" s="163">
        <v>45058</v>
      </c>
      <c r="B764" s="162">
        <v>90.24</v>
      </c>
    </row>
    <row r="765" spans="1:2" ht="18" x14ac:dyDescent="0.2">
      <c r="A765" s="163">
        <v>45057</v>
      </c>
      <c r="B765" s="162">
        <v>90.56</v>
      </c>
    </row>
    <row r="766" spans="1:2" ht="18" x14ac:dyDescent="0.2">
      <c r="A766" s="163">
        <v>45056</v>
      </c>
      <c r="B766" s="162">
        <v>92.59</v>
      </c>
    </row>
    <row r="767" spans="1:2" ht="18" x14ac:dyDescent="0.2">
      <c r="A767" s="163">
        <v>45055</v>
      </c>
      <c r="B767" s="162">
        <v>93.14</v>
      </c>
    </row>
    <row r="768" spans="1:2" ht="18" x14ac:dyDescent="0.2">
      <c r="A768" s="163">
        <v>45054</v>
      </c>
      <c r="B768" s="162">
        <v>94.17</v>
      </c>
    </row>
    <row r="769" spans="1:2" ht="18" x14ac:dyDescent="0.2">
      <c r="A769" s="163">
        <v>45051</v>
      </c>
      <c r="B769" s="162">
        <v>92.91</v>
      </c>
    </row>
    <row r="770" spans="1:2" ht="18" x14ac:dyDescent="0.2">
      <c r="A770" s="163">
        <v>45050</v>
      </c>
      <c r="B770" s="162">
        <v>93.99</v>
      </c>
    </row>
    <row r="771" spans="1:2" ht="18" x14ac:dyDescent="0.2">
      <c r="A771" s="163">
        <v>45049</v>
      </c>
      <c r="B771" s="162">
        <v>93.62</v>
      </c>
    </row>
    <row r="772" spans="1:2" ht="18" x14ac:dyDescent="0.2">
      <c r="A772" s="163">
        <v>45048</v>
      </c>
      <c r="B772" s="162">
        <v>93.43</v>
      </c>
    </row>
    <row r="773" spans="1:2" ht="18" x14ac:dyDescent="0.2">
      <c r="A773" s="163">
        <v>45047</v>
      </c>
      <c r="B773" s="162">
        <v>92.84</v>
      </c>
    </row>
    <row r="774" spans="1:2" ht="18" x14ac:dyDescent="0.2">
      <c r="A774" s="163">
        <v>45044</v>
      </c>
      <c r="B774" s="162">
        <v>92.08</v>
      </c>
    </row>
    <row r="775" spans="1:2" ht="18" x14ac:dyDescent="0.2">
      <c r="A775" s="163">
        <v>45043</v>
      </c>
      <c r="B775" s="162">
        <v>90.33</v>
      </c>
    </row>
    <row r="776" spans="1:2" ht="18" x14ac:dyDescent="0.2">
      <c r="A776" s="163">
        <v>45042</v>
      </c>
      <c r="B776" s="162">
        <v>89.79</v>
      </c>
    </row>
    <row r="777" spans="1:2" ht="18" x14ac:dyDescent="0.2">
      <c r="A777" s="163">
        <v>45041</v>
      </c>
      <c r="B777" s="162">
        <v>89.69</v>
      </c>
    </row>
    <row r="778" spans="1:2" ht="18" x14ac:dyDescent="0.2">
      <c r="A778" s="163">
        <v>45040</v>
      </c>
      <c r="B778" s="162">
        <v>92.01</v>
      </c>
    </row>
    <row r="779" spans="1:2" ht="18" x14ac:dyDescent="0.2">
      <c r="A779" s="163">
        <v>45037</v>
      </c>
      <c r="B779" s="162">
        <v>92.95</v>
      </c>
    </row>
    <row r="780" spans="1:2" ht="18" x14ac:dyDescent="0.2">
      <c r="A780" s="163">
        <v>45036</v>
      </c>
      <c r="B780" s="162">
        <v>92.96</v>
      </c>
    </row>
    <row r="781" spans="1:2" ht="18" x14ac:dyDescent="0.2">
      <c r="A781" s="163">
        <v>45035</v>
      </c>
      <c r="B781" s="162">
        <v>92.6</v>
      </c>
    </row>
    <row r="782" spans="1:2" ht="18" x14ac:dyDescent="0.2">
      <c r="A782" s="163">
        <v>45034</v>
      </c>
      <c r="B782" s="162">
        <v>93.53</v>
      </c>
    </row>
    <row r="783" spans="1:2" ht="18" x14ac:dyDescent="0.2">
      <c r="A783" s="163">
        <v>45033</v>
      </c>
      <c r="B783" s="162">
        <v>93.62</v>
      </c>
    </row>
    <row r="784" spans="1:2" ht="18" x14ac:dyDescent="0.2">
      <c r="A784" s="163">
        <v>45030</v>
      </c>
      <c r="B784" s="162">
        <v>93.58</v>
      </c>
    </row>
    <row r="785" spans="1:2" ht="18" x14ac:dyDescent="0.2">
      <c r="A785" s="163">
        <v>45029</v>
      </c>
      <c r="B785" s="162">
        <v>93.62</v>
      </c>
    </row>
    <row r="786" spans="1:2" ht="18" x14ac:dyDescent="0.2">
      <c r="A786" s="163">
        <v>45028</v>
      </c>
      <c r="B786" s="162">
        <v>93.52</v>
      </c>
    </row>
    <row r="787" spans="1:2" ht="18" x14ac:dyDescent="0.2">
      <c r="A787" s="163">
        <v>45027</v>
      </c>
      <c r="B787" s="162">
        <v>95.1</v>
      </c>
    </row>
    <row r="788" spans="1:2" ht="18" x14ac:dyDescent="0.2">
      <c r="A788" s="163">
        <v>45026</v>
      </c>
      <c r="B788" s="162">
        <v>95.2</v>
      </c>
    </row>
    <row r="789" spans="1:2" ht="18" x14ac:dyDescent="0.2">
      <c r="A789" s="163">
        <v>45022</v>
      </c>
      <c r="B789" s="162">
        <v>94.73</v>
      </c>
    </row>
    <row r="790" spans="1:2" ht="18" x14ac:dyDescent="0.2">
      <c r="A790" s="163">
        <v>45021</v>
      </c>
      <c r="B790" s="162">
        <v>95</v>
      </c>
    </row>
    <row r="791" spans="1:2" ht="18" x14ac:dyDescent="0.2">
      <c r="A791" s="163">
        <v>45020</v>
      </c>
      <c r="B791" s="162">
        <v>97.25</v>
      </c>
    </row>
    <row r="792" spans="1:2" ht="18" x14ac:dyDescent="0.2">
      <c r="A792" s="163">
        <v>45019</v>
      </c>
      <c r="B792" s="162">
        <v>100.87</v>
      </c>
    </row>
    <row r="793" spans="1:2" ht="18" x14ac:dyDescent="0.2">
      <c r="A793" s="163">
        <v>45016</v>
      </c>
      <c r="B793" s="162">
        <v>101.57</v>
      </c>
    </row>
    <row r="794" spans="1:2" ht="18" x14ac:dyDescent="0.2">
      <c r="A794" s="163">
        <v>45015</v>
      </c>
      <c r="B794" s="162">
        <v>100.88</v>
      </c>
    </row>
    <row r="795" spans="1:2" ht="18" x14ac:dyDescent="0.2">
      <c r="A795" s="163">
        <v>45014</v>
      </c>
      <c r="B795" s="162">
        <v>100.19</v>
      </c>
    </row>
    <row r="796" spans="1:2" ht="18" x14ac:dyDescent="0.2">
      <c r="A796" s="163">
        <v>45013</v>
      </c>
      <c r="B796" s="162">
        <v>97.61</v>
      </c>
    </row>
    <row r="797" spans="1:2" ht="18" x14ac:dyDescent="0.2">
      <c r="A797" s="163">
        <v>45012</v>
      </c>
      <c r="B797" s="162">
        <v>98.52</v>
      </c>
    </row>
    <row r="798" spans="1:2" ht="18" x14ac:dyDescent="0.2">
      <c r="A798" s="163">
        <v>45009</v>
      </c>
      <c r="B798" s="162">
        <v>100.92</v>
      </c>
    </row>
    <row r="799" spans="1:2" ht="18" x14ac:dyDescent="0.2">
      <c r="A799" s="163">
        <v>45008</v>
      </c>
      <c r="B799" s="162">
        <v>102.48</v>
      </c>
    </row>
    <row r="800" spans="1:2" ht="18" x14ac:dyDescent="0.2">
      <c r="A800" s="163">
        <v>45007</v>
      </c>
      <c r="B800" s="162">
        <v>99.47</v>
      </c>
    </row>
    <row r="801" spans="1:2" ht="18" x14ac:dyDescent="0.2">
      <c r="A801" s="163">
        <v>45006</v>
      </c>
      <c r="B801" s="162">
        <v>100.92</v>
      </c>
    </row>
    <row r="802" spans="1:2" ht="18" x14ac:dyDescent="0.2">
      <c r="A802" s="163">
        <v>45005</v>
      </c>
      <c r="B802" s="162">
        <v>99.21</v>
      </c>
    </row>
    <row r="803" spans="1:2" ht="18" x14ac:dyDescent="0.2">
      <c r="A803" s="163">
        <v>45002</v>
      </c>
      <c r="B803" s="162">
        <v>96.65</v>
      </c>
    </row>
    <row r="804" spans="1:2" ht="18" x14ac:dyDescent="0.2">
      <c r="A804" s="163">
        <v>45001</v>
      </c>
      <c r="B804" s="162">
        <v>97.15</v>
      </c>
    </row>
    <row r="805" spans="1:2" ht="18" x14ac:dyDescent="0.2">
      <c r="A805" s="163">
        <v>45000</v>
      </c>
      <c r="B805" s="162">
        <v>94.07</v>
      </c>
    </row>
    <row r="806" spans="1:2" ht="18" x14ac:dyDescent="0.2">
      <c r="A806" s="163">
        <v>44999</v>
      </c>
      <c r="B806" s="162">
        <v>96.28</v>
      </c>
    </row>
    <row r="807" spans="1:2" ht="18" x14ac:dyDescent="0.2">
      <c r="A807" s="163">
        <v>44998</v>
      </c>
      <c r="B807" s="162">
        <v>94.67</v>
      </c>
    </row>
    <row r="808" spans="1:2" ht="18" x14ac:dyDescent="0.2">
      <c r="A808" s="163">
        <v>44995</v>
      </c>
      <c r="B808" s="162">
        <v>95.33</v>
      </c>
    </row>
    <row r="809" spans="1:2" ht="18" x14ac:dyDescent="0.2">
      <c r="A809" s="163">
        <v>44994</v>
      </c>
      <c r="B809" s="162">
        <v>97.54</v>
      </c>
    </row>
    <row r="810" spans="1:2" ht="18" x14ac:dyDescent="0.2">
      <c r="A810" s="163">
        <v>44993</v>
      </c>
      <c r="B810" s="162">
        <v>101.33</v>
      </c>
    </row>
    <row r="811" spans="1:2" ht="18" x14ac:dyDescent="0.2">
      <c r="A811" s="163">
        <v>44992</v>
      </c>
      <c r="B811" s="162">
        <v>100.05</v>
      </c>
    </row>
    <row r="812" spans="1:2" ht="18" x14ac:dyDescent="0.2">
      <c r="A812" s="163">
        <v>44991</v>
      </c>
      <c r="B812" s="162">
        <v>100.75</v>
      </c>
    </row>
    <row r="813" spans="1:2" ht="18" x14ac:dyDescent="0.2">
      <c r="A813" s="163">
        <v>44988</v>
      </c>
      <c r="B813" s="162">
        <v>102.7</v>
      </c>
    </row>
    <row r="814" spans="1:2" ht="18" x14ac:dyDescent="0.2">
      <c r="A814" s="163">
        <v>44987</v>
      </c>
      <c r="B814" s="162">
        <v>101.24</v>
      </c>
    </row>
    <row r="815" spans="1:2" ht="18" x14ac:dyDescent="0.2">
      <c r="A815" s="163">
        <v>44986</v>
      </c>
      <c r="B815" s="162">
        <v>100.45</v>
      </c>
    </row>
    <row r="816" spans="1:2" ht="18" x14ac:dyDescent="0.2">
      <c r="A816" s="163">
        <v>44985</v>
      </c>
      <c r="B816" s="162">
        <v>100.89</v>
      </c>
    </row>
    <row r="817" spans="1:2" ht="18" x14ac:dyDescent="0.2">
      <c r="A817" s="163">
        <v>44984</v>
      </c>
      <c r="B817" s="162">
        <v>100.03</v>
      </c>
    </row>
    <row r="818" spans="1:2" ht="18" x14ac:dyDescent="0.2">
      <c r="A818" s="163">
        <v>44981</v>
      </c>
      <c r="B818" s="162">
        <v>100.67</v>
      </c>
    </row>
    <row r="819" spans="1:2" ht="18" x14ac:dyDescent="0.2">
      <c r="A819" s="163">
        <v>44980</v>
      </c>
      <c r="B819" s="162">
        <v>103.08</v>
      </c>
    </row>
    <row r="820" spans="1:2" ht="18" x14ac:dyDescent="0.2">
      <c r="A820" s="163">
        <v>44979</v>
      </c>
      <c r="B820" s="162">
        <v>100.21</v>
      </c>
    </row>
    <row r="821" spans="1:2" ht="18" x14ac:dyDescent="0.2">
      <c r="A821" s="163">
        <v>44978</v>
      </c>
      <c r="B821" s="162">
        <v>100.32</v>
      </c>
    </row>
    <row r="822" spans="1:2" ht="18" x14ac:dyDescent="0.2">
      <c r="A822" s="163">
        <v>44974</v>
      </c>
      <c r="B822" s="162">
        <v>103.08</v>
      </c>
    </row>
    <row r="823" spans="1:2" ht="18" x14ac:dyDescent="0.2">
      <c r="A823" s="163">
        <v>44973</v>
      </c>
      <c r="B823" s="162">
        <v>104.44</v>
      </c>
    </row>
    <row r="824" spans="1:2" ht="18" x14ac:dyDescent="0.2">
      <c r="A824" s="163">
        <v>44972</v>
      </c>
      <c r="B824" s="162">
        <v>105.27</v>
      </c>
    </row>
    <row r="825" spans="1:2" ht="18" x14ac:dyDescent="0.2">
      <c r="A825" s="163">
        <v>44971</v>
      </c>
      <c r="B825" s="162">
        <v>106.43</v>
      </c>
    </row>
    <row r="826" spans="1:2" ht="18" x14ac:dyDescent="0.2">
      <c r="A826" s="163">
        <v>44970</v>
      </c>
      <c r="B826" s="162">
        <v>105.42</v>
      </c>
    </row>
    <row r="827" spans="1:2" ht="18" x14ac:dyDescent="0.2">
      <c r="A827" s="163">
        <v>44967</v>
      </c>
      <c r="B827" s="162">
        <v>103.31</v>
      </c>
    </row>
    <row r="828" spans="1:2" ht="18" x14ac:dyDescent="0.2">
      <c r="A828" s="163">
        <v>44966</v>
      </c>
      <c r="B828" s="162">
        <v>105.95</v>
      </c>
    </row>
    <row r="829" spans="1:2" ht="18" x14ac:dyDescent="0.2">
      <c r="A829" s="163">
        <v>44965</v>
      </c>
      <c r="B829" s="162">
        <v>105.87</v>
      </c>
    </row>
    <row r="830" spans="1:2" ht="18" x14ac:dyDescent="0.2">
      <c r="A830" s="163">
        <v>44964</v>
      </c>
      <c r="B830" s="162">
        <v>108.56</v>
      </c>
    </row>
    <row r="831" spans="1:2" ht="18" x14ac:dyDescent="0.2">
      <c r="A831" s="163">
        <v>44963</v>
      </c>
      <c r="B831" s="162">
        <v>102.24</v>
      </c>
    </row>
    <row r="832" spans="1:2" ht="18" x14ac:dyDescent="0.2">
      <c r="A832" s="163">
        <v>44960</v>
      </c>
      <c r="B832" s="162">
        <v>106.88</v>
      </c>
    </row>
    <row r="833" spans="1:2" ht="18" x14ac:dyDescent="0.2">
      <c r="A833" s="163">
        <v>44959</v>
      </c>
      <c r="B833" s="162">
        <v>106.97</v>
      </c>
    </row>
    <row r="834" spans="1:2" ht="18" x14ac:dyDescent="0.2">
      <c r="A834" s="163">
        <v>44958</v>
      </c>
      <c r="B834" s="162">
        <v>113.53</v>
      </c>
    </row>
    <row r="835" spans="1:2" ht="18" x14ac:dyDescent="0.2">
      <c r="A835" s="163">
        <v>44957</v>
      </c>
      <c r="B835" s="162">
        <v>108.66</v>
      </c>
    </row>
    <row r="836" spans="1:2" ht="18" x14ac:dyDescent="0.2">
      <c r="A836" s="163">
        <v>44956</v>
      </c>
      <c r="B836" s="162">
        <v>107.69</v>
      </c>
    </row>
    <row r="837" spans="1:2" ht="18" x14ac:dyDescent="0.2">
      <c r="A837" s="163">
        <v>44953</v>
      </c>
      <c r="B837" s="162">
        <v>111.61</v>
      </c>
    </row>
    <row r="838" spans="1:2" ht="18" x14ac:dyDescent="0.2">
      <c r="A838" s="163">
        <v>44952</v>
      </c>
      <c r="B838" s="162">
        <v>112.53</v>
      </c>
    </row>
    <row r="839" spans="1:2" ht="18" x14ac:dyDescent="0.2">
      <c r="A839" s="163">
        <v>44951</v>
      </c>
      <c r="B839" s="162">
        <v>110.11</v>
      </c>
    </row>
    <row r="840" spans="1:2" ht="18" x14ac:dyDescent="0.2">
      <c r="A840" s="163">
        <v>44950</v>
      </c>
      <c r="B840" s="162">
        <v>108.11</v>
      </c>
    </row>
    <row r="841" spans="1:2" ht="18" x14ac:dyDescent="0.2">
      <c r="A841" s="163">
        <v>44949</v>
      </c>
      <c r="B841" s="162">
        <v>109.43</v>
      </c>
    </row>
    <row r="842" spans="1:2" ht="18" x14ac:dyDescent="0.2">
      <c r="A842" s="163">
        <v>44946</v>
      </c>
      <c r="B842" s="162">
        <v>102.39</v>
      </c>
    </row>
    <row r="843" spans="1:2" ht="18" x14ac:dyDescent="0.2">
      <c r="A843" s="163">
        <v>44945</v>
      </c>
      <c r="B843" s="162">
        <v>98.79</v>
      </c>
    </row>
    <row r="844" spans="1:2" ht="18" x14ac:dyDescent="0.2">
      <c r="A844" s="163">
        <v>44944</v>
      </c>
      <c r="B844" s="162">
        <v>100.97</v>
      </c>
    </row>
    <row r="845" spans="1:2" ht="18" x14ac:dyDescent="0.2">
      <c r="A845" s="163">
        <v>44943</v>
      </c>
      <c r="B845" s="162">
        <v>101.27</v>
      </c>
    </row>
    <row r="846" spans="1:2" ht="18" x14ac:dyDescent="0.2">
      <c r="A846" s="163">
        <v>44939</v>
      </c>
      <c r="B846" s="162">
        <v>100.4</v>
      </c>
    </row>
    <row r="847" spans="1:2" ht="18" x14ac:dyDescent="0.2">
      <c r="A847" s="163">
        <v>44938</v>
      </c>
      <c r="B847" s="162">
        <v>99.66</v>
      </c>
    </row>
    <row r="848" spans="1:2" ht="18" x14ac:dyDescent="0.2">
      <c r="A848" s="163">
        <v>44937</v>
      </c>
      <c r="B848" s="162">
        <v>99.05</v>
      </c>
    </row>
    <row r="849" spans="1:2" ht="18" x14ac:dyDescent="0.2">
      <c r="A849" s="163">
        <v>44936</v>
      </c>
      <c r="B849" s="162">
        <v>96.18</v>
      </c>
    </row>
    <row r="850" spans="1:2" ht="18" x14ac:dyDescent="0.2">
      <c r="A850" s="163">
        <v>44935</v>
      </c>
      <c r="B850" s="162">
        <v>95.21</v>
      </c>
    </row>
    <row r="851" spans="1:2" ht="18" x14ac:dyDescent="0.2">
      <c r="A851" s="163">
        <v>44932</v>
      </c>
      <c r="B851" s="162">
        <v>93.35</v>
      </c>
    </row>
    <row r="852" spans="1:2" ht="18" x14ac:dyDescent="0.2">
      <c r="A852" s="163">
        <v>44931</v>
      </c>
      <c r="B852" s="162">
        <v>90.29</v>
      </c>
    </row>
    <row r="853" spans="1:2" ht="18" x14ac:dyDescent="0.2">
      <c r="A853" s="163">
        <v>44930</v>
      </c>
      <c r="B853" s="162">
        <v>91</v>
      </c>
    </row>
    <row r="854" spans="1:2" ht="18" x14ac:dyDescent="0.2">
      <c r="A854" s="163">
        <v>44929</v>
      </c>
      <c r="B854" s="162">
        <v>89.14</v>
      </c>
    </row>
    <row r="855" spans="1:2" ht="18" x14ac:dyDescent="0.2">
      <c r="A855" s="163">
        <v>44925</v>
      </c>
      <c r="B855" s="162">
        <v>90.64</v>
      </c>
    </row>
    <row r="856" spans="1:2" ht="18" x14ac:dyDescent="0.2">
      <c r="A856" s="163">
        <v>44924</v>
      </c>
      <c r="B856" s="162">
        <v>90.31</v>
      </c>
    </row>
    <row r="857" spans="1:2" ht="18" x14ac:dyDescent="0.2">
      <c r="A857" s="163">
        <v>44923</v>
      </c>
      <c r="B857" s="162">
        <v>87.79</v>
      </c>
    </row>
    <row r="858" spans="1:2" ht="18" x14ac:dyDescent="0.2">
      <c r="A858" s="163">
        <v>44922</v>
      </c>
      <c r="B858" s="162">
        <v>89.53</v>
      </c>
    </row>
    <row r="859" spans="1:2" ht="18" x14ac:dyDescent="0.2">
      <c r="A859" s="163">
        <v>44918</v>
      </c>
      <c r="B859" s="162">
        <v>90.5</v>
      </c>
    </row>
    <row r="860" spans="1:2" ht="18" x14ac:dyDescent="0.2">
      <c r="A860" s="163">
        <v>44917</v>
      </c>
      <c r="B860" s="162">
        <v>91.07</v>
      </c>
    </row>
    <row r="861" spans="1:2" ht="18" x14ac:dyDescent="0.2">
      <c r="A861" s="163">
        <v>44916</v>
      </c>
      <c r="B861" s="162">
        <v>93.17</v>
      </c>
    </row>
    <row r="862" spans="1:2" ht="18" x14ac:dyDescent="0.2">
      <c r="A862" s="163">
        <v>44915</v>
      </c>
      <c r="B862" s="162">
        <v>90.83</v>
      </c>
    </row>
    <row r="863" spans="1:2" ht="18" x14ac:dyDescent="0.2">
      <c r="A863" s="163">
        <v>44914</v>
      </c>
      <c r="B863" s="162">
        <v>93.02</v>
      </c>
    </row>
    <row r="864" spans="1:2" ht="18" x14ac:dyDescent="0.2">
      <c r="A864" s="163">
        <v>44911</v>
      </c>
      <c r="B864" s="162">
        <v>94.59</v>
      </c>
    </row>
    <row r="865" spans="1:2" ht="18" x14ac:dyDescent="0.2">
      <c r="A865" s="163">
        <v>44910</v>
      </c>
      <c r="B865" s="162">
        <v>96.85</v>
      </c>
    </row>
    <row r="866" spans="1:2" ht="18" x14ac:dyDescent="0.2">
      <c r="A866" s="163">
        <v>44909</v>
      </c>
      <c r="B866" s="162">
        <v>100.94</v>
      </c>
    </row>
    <row r="867" spans="1:2" ht="18" x14ac:dyDescent="0.2">
      <c r="A867" s="163">
        <v>44908</v>
      </c>
      <c r="B867" s="162">
        <v>102.2</v>
      </c>
    </row>
    <row r="868" spans="1:2" ht="18" x14ac:dyDescent="0.2">
      <c r="A868" s="163">
        <v>44907</v>
      </c>
      <c r="B868" s="162">
        <v>99.2</v>
      </c>
    </row>
    <row r="869" spans="1:2" ht="18" x14ac:dyDescent="0.2">
      <c r="A869" s="163">
        <v>44904</v>
      </c>
      <c r="B869" s="162">
        <v>97.6</v>
      </c>
    </row>
    <row r="870" spans="1:2" ht="18" x14ac:dyDescent="0.2">
      <c r="A870" s="163">
        <v>44903</v>
      </c>
      <c r="B870" s="162">
        <v>98.78</v>
      </c>
    </row>
    <row r="871" spans="1:2" ht="18" x14ac:dyDescent="0.2">
      <c r="A871" s="163">
        <v>44902</v>
      </c>
      <c r="B871" s="162">
        <v>95.42</v>
      </c>
    </row>
    <row r="872" spans="1:2" ht="18" x14ac:dyDescent="0.2">
      <c r="A872" s="163">
        <v>44901</v>
      </c>
      <c r="B872" s="162">
        <v>95.7</v>
      </c>
    </row>
    <row r="873" spans="1:2" ht="18" x14ac:dyDescent="0.2">
      <c r="A873" s="163">
        <v>44900</v>
      </c>
      <c r="B873" s="162">
        <v>97.56</v>
      </c>
    </row>
    <row r="874" spans="1:2" ht="18" x14ac:dyDescent="0.2">
      <c r="A874" s="163">
        <v>44897</v>
      </c>
      <c r="B874" s="162">
        <v>97.19</v>
      </c>
    </row>
    <row r="875" spans="1:2" ht="18" x14ac:dyDescent="0.2">
      <c r="A875" s="163">
        <v>44896</v>
      </c>
      <c r="B875" s="162">
        <v>97.25</v>
      </c>
    </row>
    <row r="876" spans="1:2" ht="18" x14ac:dyDescent="0.2">
      <c r="A876" s="163">
        <v>44895</v>
      </c>
      <c r="B876" s="162">
        <v>99.25</v>
      </c>
    </row>
    <row r="877" spans="1:2" ht="18" x14ac:dyDescent="0.2">
      <c r="A877" s="163">
        <v>44894</v>
      </c>
      <c r="B877" s="162">
        <v>93.98</v>
      </c>
    </row>
    <row r="878" spans="1:2" ht="18" x14ac:dyDescent="0.2">
      <c r="A878" s="163">
        <v>44893</v>
      </c>
      <c r="B878" s="162">
        <v>94.21</v>
      </c>
    </row>
    <row r="879" spans="1:2" ht="18" x14ac:dyDescent="0.2">
      <c r="A879" s="163">
        <v>44890</v>
      </c>
      <c r="B879" s="162">
        <v>95.94</v>
      </c>
    </row>
    <row r="880" spans="1:2" ht="18" x14ac:dyDescent="0.2">
      <c r="A880" s="163">
        <v>44888</v>
      </c>
      <c r="B880" s="162">
        <v>97.58</v>
      </c>
    </row>
    <row r="881" spans="1:2" ht="18" x14ac:dyDescent="0.2">
      <c r="A881" s="163">
        <v>44887</v>
      </c>
      <c r="B881" s="162">
        <v>96.93</v>
      </c>
    </row>
    <row r="882" spans="1:2" ht="18" x14ac:dyDescent="0.2">
      <c r="A882" s="163">
        <v>44886</v>
      </c>
      <c r="B882" s="162">
        <v>94.83</v>
      </c>
    </row>
    <row r="883" spans="1:2" ht="18" x14ac:dyDescent="0.2">
      <c r="A883" s="163">
        <v>44883</v>
      </c>
      <c r="B883" s="162">
        <v>98.92</v>
      </c>
    </row>
    <row r="884" spans="1:2" ht="18" x14ac:dyDescent="0.2">
      <c r="A884" s="163">
        <v>44882</v>
      </c>
      <c r="B884" s="162">
        <v>97.7</v>
      </c>
    </row>
    <row r="885" spans="1:2" ht="18" x14ac:dyDescent="0.2">
      <c r="A885" s="163">
        <v>44881</v>
      </c>
      <c r="B885" s="162">
        <v>92.83</v>
      </c>
    </row>
    <row r="886" spans="1:2" ht="18" x14ac:dyDescent="0.2">
      <c r="A886" s="163">
        <v>44880</v>
      </c>
      <c r="B886" s="162">
        <v>98.75</v>
      </c>
    </row>
    <row r="887" spans="1:2" ht="18" x14ac:dyDescent="0.2">
      <c r="A887" s="163">
        <v>44879</v>
      </c>
      <c r="B887" s="162">
        <v>94.41</v>
      </c>
    </row>
    <row r="888" spans="1:2" ht="18" x14ac:dyDescent="0.2">
      <c r="A888" s="163">
        <v>44876</v>
      </c>
      <c r="B888" s="162">
        <v>96.78</v>
      </c>
    </row>
    <row r="889" spans="1:2" ht="18" x14ac:dyDescent="0.2">
      <c r="A889" s="163">
        <v>44875</v>
      </c>
      <c r="B889" s="162">
        <v>94.68</v>
      </c>
    </row>
    <row r="890" spans="1:2" ht="18" x14ac:dyDescent="0.2">
      <c r="A890" s="163">
        <v>44874</v>
      </c>
      <c r="B890" s="162">
        <v>84.9</v>
      </c>
    </row>
    <row r="891" spans="1:2" ht="18" x14ac:dyDescent="0.2">
      <c r="A891" s="163">
        <v>44873</v>
      </c>
      <c r="B891" s="162">
        <v>88.14</v>
      </c>
    </row>
    <row r="892" spans="1:2" ht="18" x14ac:dyDescent="0.2">
      <c r="A892" s="163">
        <v>44872</v>
      </c>
      <c r="B892" s="162">
        <v>88.11</v>
      </c>
    </row>
    <row r="893" spans="1:2" ht="18" x14ac:dyDescent="0.2">
      <c r="A893" s="163">
        <v>44869</v>
      </c>
      <c r="B893" s="162">
        <v>86.85</v>
      </c>
    </row>
    <row r="894" spans="1:2" ht="18" x14ac:dyDescent="0.2">
      <c r="A894" s="163">
        <v>44868</v>
      </c>
      <c r="B894" s="162">
        <v>82.67</v>
      </c>
    </row>
    <row r="895" spans="1:2" ht="18" x14ac:dyDescent="0.2">
      <c r="A895" s="163">
        <v>44867</v>
      </c>
      <c r="B895" s="162">
        <v>84.48</v>
      </c>
    </row>
    <row r="896" spans="1:2" ht="18" x14ac:dyDescent="0.2">
      <c r="A896" s="163">
        <v>44866</v>
      </c>
      <c r="B896" s="162">
        <v>86.51</v>
      </c>
    </row>
    <row r="897" spans="1:2" ht="18" x14ac:dyDescent="0.2">
      <c r="A897" s="163">
        <v>44865</v>
      </c>
      <c r="B897" s="162">
        <v>86.08</v>
      </c>
    </row>
    <row r="898" spans="1:2" ht="18" x14ac:dyDescent="0.2">
      <c r="A898" s="163">
        <v>44862</v>
      </c>
      <c r="B898" s="162">
        <v>88.46</v>
      </c>
    </row>
    <row r="899" spans="1:2" ht="18" x14ac:dyDescent="0.2">
      <c r="A899" s="163">
        <v>44861</v>
      </c>
      <c r="B899" s="162">
        <v>84.99</v>
      </c>
    </row>
    <row r="900" spans="1:2" ht="18" x14ac:dyDescent="0.2">
      <c r="A900" s="163">
        <v>44860</v>
      </c>
      <c r="B900" s="162">
        <v>85.42</v>
      </c>
    </row>
    <row r="901" spans="1:2" ht="18" x14ac:dyDescent="0.2">
      <c r="A901" s="163">
        <v>44859</v>
      </c>
      <c r="B901" s="162">
        <v>86.04</v>
      </c>
    </row>
    <row r="902" spans="1:2" ht="18" x14ac:dyDescent="0.2">
      <c r="A902" s="163">
        <v>44858</v>
      </c>
      <c r="B902" s="162">
        <v>86.01</v>
      </c>
    </row>
    <row r="903" spans="1:2" ht="18" x14ac:dyDescent="0.2">
      <c r="A903" s="163">
        <v>44855</v>
      </c>
      <c r="B903" s="162">
        <v>85.49</v>
      </c>
    </row>
    <row r="904" spans="1:2" ht="18" x14ac:dyDescent="0.2">
      <c r="A904" s="163">
        <v>44854</v>
      </c>
      <c r="B904" s="162">
        <v>82.12</v>
      </c>
    </row>
    <row r="905" spans="1:2" ht="18" x14ac:dyDescent="0.2">
      <c r="A905" s="163">
        <v>44853</v>
      </c>
      <c r="B905" s="162">
        <v>81.78</v>
      </c>
    </row>
    <row r="906" spans="1:2" ht="18" x14ac:dyDescent="0.2">
      <c r="A906" s="163">
        <v>44852</v>
      </c>
      <c r="B906" s="162">
        <v>81.290000000000006</v>
      </c>
    </row>
    <row r="907" spans="1:2" ht="18" x14ac:dyDescent="0.2">
      <c r="A907" s="163">
        <v>44851</v>
      </c>
      <c r="B907" s="162">
        <v>80.97</v>
      </c>
    </row>
    <row r="908" spans="1:2" ht="18" x14ac:dyDescent="0.2">
      <c r="A908" s="163">
        <v>44848</v>
      </c>
      <c r="B908" s="162">
        <v>79.64</v>
      </c>
    </row>
    <row r="909" spans="1:2" ht="18" x14ac:dyDescent="0.2">
      <c r="A909" s="163">
        <v>44847</v>
      </c>
      <c r="B909" s="162">
        <v>81.92</v>
      </c>
    </row>
    <row r="910" spans="1:2" ht="18" x14ac:dyDescent="0.2">
      <c r="A910" s="163">
        <v>44846</v>
      </c>
      <c r="B910" s="162">
        <v>78.34</v>
      </c>
    </row>
    <row r="911" spans="1:2" ht="18" x14ac:dyDescent="0.2">
      <c r="A911" s="163">
        <v>44845</v>
      </c>
      <c r="B911" s="162">
        <v>78.62</v>
      </c>
    </row>
    <row r="912" spans="1:2" ht="18" x14ac:dyDescent="0.2">
      <c r="A912" s="163">
        <v>44844</v>
      </c>
      <c r="B912" s="162">
        <v>81.96</v>
      </c>
    </row>
    <row r="913" spans="1:2" ht="18" x14ac:dyDescent="0.2">
      <c r="A913" s="163">
        <v>44841</v>
      </c>
      <c r="B913" s="162">
        <v>81.510000000000005</v>
      </c>
    </row>
    <row r="914" spans="1:2" ht="18" x14ac:dyDescent="0.2">
      <c r="A914" s="163">
        <v>44840</v>
      </c>
      <c r="B914" s="162">
        <v>85.46</v>
      </c>
    </row>
    <row r="915" spans="1:2" ht="18" x14ac:dyDescent="0.2">
      <c r="A915" s="163">
        <v>44839</v>
      </c>
      <c r="B915" s="162">
        <v>87.35</v>
      </c>
    </row>
    <row r="916" spans="1:2" ht="18" x14ac:dyDescent="0.2">
      <c r="A916" s="163">
        <v>44838</v>
      </c>
      <c r="B916" s="162">
        <v>86.07</v>
      </c>
    </row>
    <row r="917" spans="1:2" ht="18" x14ac:dyDescent="0.2">
      <c r="A917" s="163">
        <v>44837</v>
      </c>
      <c r="B917" s="162">
        <v>82.32</v>
      </c>
    </row>
    <row r="918" spans="1:2" ht="18" x14ac:dyDescent="0.2">
      <c r="A918" s="163">
        <v>44834</v>
      </c>
      <c r="B918" s="162">
        <v>79.41</v>
      </c>
    </row>
    <row r="919" spans="1:2" ht="18" x14ac:dyDescent="0.2">
      <c r="A919" s="163">
        <v>44833</v>
      </c>
      <c r="B919" s="162">
        <v>81.790000000000006</v>
      </c>
    </row>
    <row r="920" spans="1:2" ht="18" x14ac:dyDescent="0.2">
      <c r="A920" s="163">
        <v>44832</v>
      </c>
      <c r="B920" s="162">
        <v>82.67</v>
      </c>
    </row>
    <row r="921" spans="1:2" ht="18" x14ac:dyDescent="0.2">
      <c r="A921" s="163">
        <v>44831</v>
      </c>
      <c r="B921" s="162">
        <v>82.26</v>
      </c>
    </row>
    <row r="922" spans="1:2" ht="18" x14ac:dyDescent="0.2">
      <c r="A922" s="163">
        <v>44830</v>
      </c>
      <c r="B922" s="162">
        <v>81.540000000000006</v>
      </c>
    </row>
    <row r="923" spans="1:2" ht="18" x14ac:dyDescent="0.2">
      <c r="A923" s="163">
        <v>44827</v>
      </c>
      <c r="B923" s="162">
        <v>82.32</v>
      </c>
    </row>
    <row r="924" spans="1:2" ht="18" x14ac:dyDescent="0.2">
      <c r="A924" s="163">
        <v>44826</v>
      </c>
      <c r="B924" s="162">
        <v>81.97</v>
      </c>
    </row>
    <row r="925" spans="1:2" ht="18" x14ac:dyDescent="0.2">
      <c r="A925" s="163">
        <v>44825</v>
      </c>
      <c r="B925" s="162">
        <v>84.47</v>
      </c>
    </row>
    <row r="926" spans="1:2" ht="18" x14ac:dyDescent="0.2">
      <c r="A926" s="163">
        <v>44824</v>
      </c>
      <c r="B926" s="162">
        <v>85.82</v>
      </c>
    </row>
    <row r="927" spans="1:2" ht="18" x14ac:dyDescent="0.2">
      <c r="A927" s="163">
        <v>44823</v>
      </c>
      <c r="B927" s="162">
        <v>87.19</v>
      </c>
    </row>
    <row r="928" spans="1:2" ht="18" x14ac:dyDescent="0.2">
      <c r="A928" s="163">
        <v>44820</v>
      </c>
      <c r="B928" s="162">
        <v>85.93</v>
      </c>
    </row>
    <row r="929" spans="1:2" ht="18" x14ac:dyDescent="0.2">
      <c r="A929" s="163">
        <v>44819</v>
      </c>
      <c r="B929" s="162">
        <v>85.43</v>
      </c>
    </row>
    <row r="930" spans="1:2" ht="18" x14ac:dyDescent="0.2">
      <c r="A930" s="163">
        <v>44818</v>
      </c>
      <c r="B930" s="162">
        <v>85.94</v>
      </c>
    </row>
    <row r="931" spans="1:2" ht="18" x14ac:dyDescent="0.2">
      <c r="A931" s="163">
        <v>44817</v>
      </c>
      <c r="B931" s="162">
        <v>86.22</v>
      </c>
    </row>
    <row r="932" spans="1:2" ht="18" x14ac:dyDescent="0.2">
      <c r="A932" s="163">
        <v>44816</v>
      </c>
      <c r="B932" s="162">
        <v>93.41</v>
      </c>
    </row>
    <row r="933" spans="1:2" ht="18" x14ac:dyDescent="0.2">
      <c r="A933" s="163">
        <v>44813</v>
      </c>
      <c r="B933" s="162">
        <v>93.53</v>
      </c>
    </row>
    <row r="934" spans="1:2" ht="18" x14ac:dyDescent="0.2">
      <c r="A934" s="163">
        <v>44812</v>
      </c>
      <c r="B934" s="162">
        <v>91.12</v>
      </c>
    </row>
    <row r="935" spans="1:2" ht="18" x14ac:dyDescent="0.2">
      <c r="A935" s="163">
        <v>44811</v>
      </c>
      <c r="B935" s="162">
        <v>90.06</v>
      </c>
    </row>
    <row r="936" spans="1:2" ht="18" x14ac:dyDescent="0.2">
      <c r="A936" s="163">
        <v>44810</v>
      </c>
      <c r="B936" s="162">
        <v>88.8</v>
      </c>
    </row>
    <row r="937" spans="1:2" ht="18" x14ac:dyDescent="0.2">
      <c r="A937" s="163">
        <v>44806</v>
      </c>
      <c r="B937" s="162">
        <v>90.14</v>
      </c>
    </row>
    <row r="938" spans="1:2" ht="18" x14ac:dyDescent="0.2">
      <c r="A938" s="163">
        <v>44805</v>
      </c>
      <c r="B938" s="162">
        <v>90.08</v>
      </c>
    </row>
    <row r="939" spans="1:2" ht="18" x14ac:dyDescent="0.2">
      <c r="A939" s="163">
        <v>44804</v>
      </c>
      <c r="B939" s="162">
        <v>89.78</v>
      </c>
    </row>
    <row r="940" spans="1:2" ht="18" x14ac:dyDescent="0.2">
      <c r="A940" s="163">
        <v>44803</v>
      </c>
      <c r="B940" s="162">
        <v>91.75</v>
      </c>
    </row>
    <row r="941" spans="1:2" ht="18" x14ac:dyDescent="0.2">
      <c r="A941" s="163">
        <v>44802</v>
      </c>
      <c r="B941" s="162">
        <v>93.8</v>
      </c>
    </row>
    <row r="942" spans="1:2" ht="18" x14ac:dyDescent="0.2">
      <c r="A942" s="163">
        <v>44799</v>
      </c>
      <c r="B942" s="162">
        <v>95.7</v>
      </c>
    </row>
    <row r="943" spans="1:2" ht="18" x14ac:dyDescent="0.2">
      <c r="A943" s="163">
        <v>44798</v>
      </c>
      <c r="B943" s="162">
        <v>101.96</v>
      </c>
    </row>
    <row r="944" spans="1:2" ht="18" x14ac:dyDescent="0.2">
      <c r="A944" s="163">
        <v>44797</v>
      </c>
      <c r="B944" s="162">
        <v>98.06</v>
      </c>
    </row>
    <row r="945" spans="1:2" ht="18" x14ac:dyDescent="0.2">
      <c r="A945" s="163">
        <v>44796</v>
      </c>
      <c r="B945" s="162">
        <v>98.72</v>
      </c>
    </row>
    <row r="946" spans="1:2" ht="18" x14ac:dyDescent="0.2">
      <c r="A946" s="163">
        <v>44795</v>
      </c>
      <c r="B946" s="162">
        <v>99.45</v>
      </c>
    </row>
    <row r="947" spans="1:2" ht="18" x14ac:dyDescent="0.2">
      <c r="A947" s="163">
        <v>44792</v>
      </c>
      <c r="B947" s="162">
        <v>103.7</v>
      </c>
    </row>
    <row r="948" spans="1:2" ht="18" x14ac:dyDescent="0.2">
      <c r="A948" s="163">
        <v>44791</v>
      </c>
      <c r="B948" s="162">
        <v>107.05</v>
      </c>
    </row>
    <row r="949" spans="1:2" ht="18" x14ac:dyDescent="0.2">
      <c r="A949" s="163">
        <v>44790</v>
      </c>
      <c r="B949" s="162">
        <v>105.42</v>
      </c>
    </row>
    <row r="950" spans="1:2" ht="18" x14ac:dyDescent="0.2">
      <c r="A950" s="163">
        <v>44789</v>
      </c>
      <c r="B950" s="162">
        <v>107.91</v>
      </c>
    </row>
    <row r="951" spans="1:2" ht="18" x14ac:dyDescent="0.2">
      <c r="A951" s="163">
        <v>44788</v>
      </c>
      <c r="B951" s="162">
        <v>108.92</v>
      </c>
    </row>
    <row r="952" spans="1:2" ht="18" x14ac:dyDescent="0.2">
      <c r="A952" s="163">
        <v>44785</v>
      </c>
      <c r="B952" s="162">
        <v>111.07</v>
      </c>
    </row>
    <row r="953" spans="1:2" ht="18" x14ac:dyDescent="0.2">
      <c r="A953" s="163">
        <v>44784</v>
      </c>
      <c r="B953" s="162">
        <v>108.72</v>
      </c>
    </row>
    <row r="954" spans="1:2" ht="18" x14ac:dyDescent="0.2">
      <c r="A954" s="163">
        <v>44783</v>
      </c>
      <c r="B954" s="162">
        <v>109.01</v>
      </c>
    </row>
    <row r="955" spans="1:2" ht="18" x14ac:dyDescent="0.2">
      <c r="A955" s="163">
        <v>44782</v>
      </c>
      <c r="B955" s="162">
        <v>102.23</v>
      </c>
    </row>
    <row r="956" spans="1:2" ht="18" x14ac:dyDescent="0.2">
      <c r="A956" s="163">
        <v>44781</v>
      </c>
      <c r="B956" s="162">
        <v>106.43</v>
      </c>
    </row>
    <row r="957" spans="1:2" ht="18" x14ac:dyDescent="0.2">
      <c r="A957" s="163">
        <v>44778</v>
      </c>
      <c r="B957" s="162">
        <v>106.09</v>
      </c>
    </row>
    <row r="958" spans="1:2" ht="18" x14ac:dyDescent="0.2">
      <c r="A958" s="163">
        <v>44777</v>
      </c>
      <c r="B958" s="162">
        <v>108.61</v>
      </c>
    </row>
    <row r="959" spans="1:2" ht="18" x14ac:dyDescent="0.2">
      <c r="A959" s="163">
        <v>44776</v>
      </c>
      <c r="B959" s="162">
        <v>106.87</v>
      </c>
    </row>
    <row r="960" spans="1:2" ht="18" x14ac:dyDescent="0.2">
      <c r="A960" s="163">
        <v>44775</v>
      </c>
      <c r="B960" s="162">
        <v>102.97</v>
      </c>
    </row>
    <row r="961" spans="1:2" ht="18" x14ac:dyDescent="0.2">
      <c r="A961" s="163">
        <v>44774</v>
      </c>
      <c r="B961" s="162">
        <v>102.84</v>
      </c>
    </row>
    <row r="962" spans="1:2" ht="18" x14ac:dyDescent="0.2">
      <c r="A962" s="163">
        <v>44771</v>
      </c>
      <c r="B962" s="162">
        <v>104.07</v>
      </c>
    </row>
    <row r="963" spans="1:2" ht="18" x14ac:dyDescent="0.2">
      <c r="A963" s="163">
        <v>44770</v>
      </c>
      <c r="B963" s="162">
        <v>103.84</v>
      </c>
    </row>
    <row r="964" spans="1:2" ht="18" x14ac:dyDescent="0.2">
      <c r="A964" s="163">
        <v>44769</v>
      </c>
      <c r="B964" s="162">
        <v>104.1</v>
      </c>
    </row>
    <row r="965" spans="1:2" ht="18" x14ac:dyDescent="0.2">
      <c r="A965" s="163">
        <v>44768</v>
      </c>
      <c r="B965" s="162">
        <v>99.79</v>
      </c>
    </row>
    <row r="966" spans="1:2" ht="18" x14ac:dyDescent="0.2">
      <c r="A966" s="163">
        <v>44767</v>
      </c>
      <c r="B966" s="162">
        <v>103.83</v>
      </c>
    </row>
    <row r="967" spans="1:2" ht="18" x14ac:dyDescent="0.2">
      <c r="A967" s="163">
        <v>44764</v>
      </c>
      <c r="B967" s="162">
        <v>104.34</v>
      </c>
    </row>
    <row r="968" spans="1:2" ht="18" x14ac:dyDescent="0.2">
      <c r="A968" s="163">
        <v>44763</v>
      </c>
      <c r="B968" s="162">
        <v>107.01</v>
      </c>
    </row>
    <row r="969" spans="1:2" ht="18" x14ac:dyDescent="0.2">
      <c r="A969" s="163">
        <v>44762</v>
      </c>
      <c r="B969" s="162">
        <v>105.57</v>
      </c>
    </row>
    <row r="970" spans="1:2" ht="18" x14ac:dyDescent="0.2">
      <c r="A970" s="163">
        <v>44761</v>
      </c>
      <c r="B970" s="162">
        <v>102.42</v>
      </c>
    </row>
    <row r="971" spans="1:2" ht="18" x14ac:dyDescent="0.2">
      <c r="A971" s="163">
        <v>44760</v>
      </c>
      <c r="B971" s="162">
        <v>97.9</v>
      </c>
    </row>
    <row r="972" spans="1:2" ht="18" x14ac:dyDescent="0.2">
      <c r="A972" s="163">
        <v>44757</v>
      </c>
      <c r="B972" s="162">
        <v>100.18</v>
      </c>
    </row>
    <row r="973" spans="1:2" ht="18" x14ac:dyDescent="0.2">
      <c r="A973" s="163">
        <v>44756</v>
      </c>
      <c r="B973" s="162">
        <v>98.39</v>
      </c>
    </row>
    <row r="974" spans="1:2" ht="18" x14ac:dyDescent="0.2">
      <c r="A974" s="163">
        <v>44755</v>
      </c>
      <c r="B974" s="162">
        <v>97.46</v>
      </c>
    </row>
    <row r="975" spans="1:2" ht="18" x14ac:dyDescent="0.2">
      <c r="A975" s="163">
        <v>44754</v>
      </c>
      <c r="B975" s="162">
        <v>97.95</v>
      </c>
    </row>
    <row r="976" spans="1:2" ht="18" x14ac:dyDescent="0.2">
      <c r="A976" s="163">
        <v>44753</v>
      </c>
      <c r="B976" s="162">
        <v>96.75</v>
      </c>
    </row>
    <row r="977" spans="1:2" ht="18" x14ac:dyDescent="0.2">
      <c r="A977" s="163">
        <v>44750</v>
      </c>
      <c r="B977" s="162">
        <v>99.41</v>
      </c>
    </row>
    <row r="978" spans="1:2" ht="18" x14ac:dyDescent="0.2">
      <c r="A978" s="163">
        <v>44749</v>
      </c>
      <c r="B978" s="162">
        <v>100.49</v>
      </c>
    </row>
    <row r="979" spans="1:2" ht="18" x14ac:dyDescent="0.2">
      <c r="A979" s="163">
        <v>44748</v>
      </c>
      <c r="B979" s="162">
        <v>97.94</v>
      </c>
    </row>
    <row r="980" spans="1:2" ht="18" x14ac:dyDescent="0.2">
      <c r="A980" s="163">
        <v>44747</v>
      </c>
      <c r="B980" s="162">
        <v>96.24</v>
      </c>
    </row>
    <row r="981" spans="1:2" ht="18" x14ac:dyDescent="0.2">
      <c r="A981" s="163">
        <v>44743</v>
      </c>
      <c r="B981" s="162">
        <v>92.47</v>
      </c>
    </row>
    <row r="982" spans="1:2" ht="18" x14ac:dyDescent="0.2">
      <c r="A982" s="163">
        <v>44742</v>
      </c>
      <c r="B982" s="162">
        <v>94.32</v>
      </c>
    </row>
    <row r="983" spans="1:2" ht="18" x14ac:dyDescent="0.2">
      <c r="A983" s="163">
        <v>44741</v>
      </c>
      <c r="B983" s="162">
        <v>95.81</v>
      </c>
    </row>
    <row r="984" spans="1:2" ht="18" x14ac:dyDescent="0.2">
      <c r="A984" s="163">
        <v>44740</v>
      </c>
      <c r="B984" s="162">
        <v>98.55</v>
      </c>
    </row>
    <row r="985" spans="1:2" ht="18" x14ac:dyDescent="0.2">
      <c r="A985" s="163">
        <v>44739</v>
      </c>
      <c r="B985" s="162">
        <v>99.8</v>
      </c>
    </row>
    <row r="986" spans="1:2" ht="18" x14ac:dyDescent="0.2">
      <c r="A986" s="163">
        <v>44736</v>
      </c>
      <c r="B986" s="162">
        <v>97.87</v>
      </c>
    </row>
    <row r="987" spans="1:2" ht="18" x14ac:dyDescent="0.2">
      <c r="A987" s="163">
        <v>44735</v>
      </c>
      <c r="B987" s="162">
        <v>94.98</v>
      </c>
    </row>
    <row r="988" spans="1:2" ht="18" x14ac:dyDescent="0.2">
      <c r="A988" s="163">
        <v>44734</v>
      </c>
      <c r="B988" s="162">
        <v>95.25</v>
      </c>
    </row>
    <row r="989" spans="1:2" ht="18" x14ac:dyDescent="0.2">
      <c r="A989" s="163">
        <v>44733</v>
      </c>
      <c r="B989" s="162">
        <v>96.26</v>
      </c>
    </row>
    <row r="990" spans="1:2" ht="18" x14ac:dyDescent="0.2">
      <c r="A990" s="163">
        <v>44729</v>
      </c>
      <c r="B990" s="162">
        <v>95.13</v>
      </c>
    </row>
    <row r="991" spans="1:2" ht="18" x14ac:dyDescent="0.2">
      <c r="A991" s="163">
        <v>44728</v>
      </c>
      <c r="B991" s="162">
        <v>93.12</v>
      </c>
    </row>
    <row r="992" spans="1:2" ht="18" x14ac:dyDescent="0.2">
      <c r="A992" s="163">
        <v>44727</v>
      </c>
      <c r="B992" s="162">
        <v>98.52</v>
      </c>
    </row>
    <row r="993" spans="1:2" ht="18" x14ac:dyDescent="0.2">
      <c r="A993" s="163">
        <v>44726</v>
      </c>
      <c r="B993" s="162">
        <v>96.66</v>
      </c>
    </row>
    <row r="994" spans="1:2" ht="18" x14ac:dyDescent="0.2">
      <c r="A994" s="163">
        <v>44725</v>
      </c>
      <c r="B994" s="162">
        <v>94.01</v>
      </c>
    </row>
    <row r="995" spans="1:2" ht="18" x14ac:dyDescent="0.2">
      <c r="A995" s="163">
        <v>44722</v>
      </c>
      <c r="B995" s="162">
        <v>101.25</v>
      </c>
    </row>
    <row r="996" spans="1:2" ht="18" x14ac:dyDescent="0.2">
      <c r="A996" s="163">
        <v>44721</v>
      </c>
      <c r="B996" s="162">
        <v>105.13</v>
      </c>
    </row>
    <row r="997" spans="1:2" ht="18" x14ac:dyDescent="0.2">
      <c r="A997" s="163">
        <v>44720</v>
      </c>
      <c r="B997" s="162">
        <v>109.38</v>
      </c>
    </row>
    <row r="998" spans="1:2" ht="18" x14ac:dyDescent="0.2">
      <c r="A998" s="163">
        <v>44719</v>
      </c>
      <c r="B998" s="162">
        <v>111.54</v>
      </c>
    </row>
    <row r="999" spans="1:2" ht="18" x14ac:dyDescent="0.2">
      <c r="A999" s="163">
        <v>44718</v>
      </c>
      <c r="B999" s="162">
        <v>109.83</v>
      </c>
    </row>
    <row r="1000" spans="1:2" ht="18" x14ac:dyDescent="0.2">
      <c r="A1000" s="163">
        <v>44715</v>
      </c>
      <c r="B1000" s="162">
        <v>109.06</v>
      </c>
    </row>
    <row r="1001" spans="1:2" ht="18" x14ac:dyDescent="0.2">
      <c r="A1001" s="163">
        <v>44714</v>
      </c>
      <c r="B1001" s="162">
        <v>113.36</v>
      </c>
    </row>
    <row r="1002" spans="1:2" ht="18" x14ac:dyDescent="0.2">
      <c r="A1002" s="163">
        <v>44713</v>
      </c>
      <c r="B1002" s="162">
        <v>109.59</v>
      </c>
    </row>
    <row r="1003" spans="1:2" ht="18" x14ac:dyDescent="0.2">
      <c r="A1003" s="163">
        <v>44712</v>
      </c>
      <c r="B1003" s="162">
        <v>111.75</v>
      </c>
    </row>
    <row r="1004" spans="1:2" ht="18" x14ac:dyDescent="0.2">
      <c r="A1004" s="163">
        <v>44708</v>
      </c>
      <c r="B1004" s="162">
        <v>112.19</v>
      </c>
    </row>
    <row r="1005" spans="1:2" ht="18" x14ac:dyDescent="0.2">
      <c r="A1005" s="163">
        <v>44707</v>
      </c>
      <c r="B1005" s="162">
        <v>108.48</v>
      </c>
    </row>
    <row r="1006" spans="1:2" ht="18" x14ac:dyDescent="0.2">
      <c r="A1006" s="163">
        <v>44706</v>
      </c>
      <c r="B1006" s="162">
        <v>104.38</v>
      </c>
    </row>
    <row r="1007" spans="1:2" ht="18" x14ac:dyDescent="0.2">
      <c r="A1007" s="163">
        <v>44705</v>
      </c>
      <c r="B1007" s="162">
        <v>102.16</v>
      </c>
    </row>
    <row r="1008" spans="1:2" ht="18" x14ac:dyDescent="0.2">
      <c r="A1008" s="163">
        <v>44704</v>
      </c>
      <c r="B1008" s="162">
        <v>105.93</v>
      </c>
    </row>
    <row r="1009" spans="1:2" ht="18" x14ac:dyDescent="0.2">
      <c r="A1009" s="163">
        <v>44701</v>
      </c>
      <c r="B1009" s="162">
        <v>108.61</v>
      </c>
    </row>
    <row r="1010" spans="1:2" ht="18" x14ac:dyDescent="0.2">
      <c r="A1010" s="163">
        <v>44700</v>
      </c>
      <c r="B1010" s="162">
        <v>104.83</v>
      </c>
    </row>
    <row r="1011" spans="1:2" ht="18" x14ac:dyDescent="0.2">
      <c r="A1011" s="163">
        <v>44699</v>
      </c>
      <c r="B1011" s="162">
        <v>104.64</v>
      </c>
    </row>
    <row r="1012" spans="1:2" ht="18" x14ac:dyDescent="0.2">
      <c r="A1012" s="163">
        <v>44698</v>
      </c>
      <c r="B1012" s="162">
        <v>108.12</v>
      </c>
    </row>
    <row r="1013" spans="1:2" ht="18" x14ac:dyDescent="0.2">
      <c r="A1013" s="163">
        <v>44697</v>
      </c>
      <c r="B1013" s="162">
        <v>102.52</v>
      </c>
    </row>
    <row r="1014" spans="1:2" ht="18" x14ac:dyDescent="0.2">
      <c r="A1014" s="163">
        <v>44694</v>
      </c>
      <c r="B1014" s="162">
        <v>104.81</v>
      </c>
    </row>
    <row r="1015" spans="1:2" ht="18" x14ac:dyDescent="0.2">
      <c r="A1015" s="163">
        <v>44693</v>
      </c>
      <c r="B1015" s="162">
        <v>101.16</v>
      </c>
    </row>
    <row r="1016" spans="1:2" ht="18" x14ac:dyDescent="0.2">
      <c r="A1016" s="163">
        <v>44692</v>
      </c>
      <c r="B1016" s="162">
        <v>100.88</v>
      </c>
    </row>
    <row r="1017" spans="1:2" ht="18" x14ac:dyDescent="0.2">
      <c r="A1017" s="163">
        <v>44691</v>
      </c>
      <c r="B1017" s="162">
        <v>105.25</v>
      </c>
    </row>
    <row r="1018" spans="1:2" ht="18" x14ac:dyDescent="0.2">
      <c r="A1018" s="163">
        <v>44690</v>
      </c>
      <c r="B1018" s="162">
        <v>102.76</v>
      </c>
    </row>
    <row r="1019" spans="1:2" ht="18" x14ac:dyDescent="0.2">
      <c r="A1019" s="163">
        <v>44687</v>
      </c>
      <c r="B1019" s="162">
        <v>107.12</v>
      </c>
    </row>
    <row r="1020" spans="1:2" ht="18" x14ac:dyDescent="0.2">
      <c r="A1020" s="163">
        <v>44686</v>
      </c>
      <c r="B1020" s="162">
        <v>108.84</v>
      </c>
    </row>
    <row r="1021" spans="1:2" ht="18" x14ac:dyDescent="0.2">
      <c r="A1021" s="163">
        <v>44685</v>
      </c>
      <c r="B1021" s="162">
        <v>119.34</v>
      </c>
    </row>
    <row r="1022" spans="1:2" ht="18" x14ac:dyDescent="0.2">
      <c r="A1022" s="163">
        <v>44684</v>
      </c>
      <c r="B1022" s="162">
        <v>120.07</v>
      </c>
    </row>
    <row r="1023" spans="1:2" ht="18" x14ac:dyDescent="0.2">
      <c r="A1023" s="163">
        <v>44683</v>
      </c>
      <c r="B1023" s="162">
        <v>119.56</v>
      </c>
    </row>
    <row r="1024" spans="1:2" ht="18" x14ac:dyDescent="0.2">
      <c r="A1024" s="163">
        <v>44680</v>
      </c>
      <c r="B1024" s="162">
        <v>113.78</v>
      </c>
    </row>
    <row r="1025" spans="1:2" ht="18" x14ac:dyDescent="0.2">
      <c r="A1025" s="163">
        <v>44679</v>
      </c>
      <c r="B1025" s="162">
        <v>117.08</v>
      </c>
    </row>
    <row r="1026" spans="1:2" ht="18" x14ac:dyDescent="0.2">
      <c r="A1026" s="163">
        <v>44678</v>
      </c>
      <c r="B1026" s="162">
        <v>110.27</v>
      </c>
    </row>
    <row r="1027" spans="1:2" ht="18" x14ac:dyDescent="0.2">
      <c r="A1027" s="163">
        <v>44677</v>
      </c>
      <c r="B1027" s="162">
        <v>109.34</v>
      </c>
    </row>
    <row r="1028" spans="1:2" ht="18" x14ac:dyDescent="0.2">
      <c r="A1028" s="163">
        <v>44676</v>
      </c>
      <c r="B1028" s="162">
        <v>114.61</v>
      </c>
    </row>
    <row r="1029" spans="1:2" ht="18" x14ac:dyDescent="0.2">
      <c r="A1029" s="163">
        <v>44673</v>
      </c>
      <c r="B1029" s="162">
        <v>111.69</v>
      </c>
    </row>
    <row r="1030" spans="1:2" ht="18" x14ac:dyDescent="0.2">
      <c r="A1030" s="163">
        <v>44672</v>
      </c>
      <c r="B1030" s="162">
        <v>113.59</v>
      </c>
    </row>
    <row r="1031" spans="1:2" ht="18" x14ac:dyDescent="0.2">
      <c r="A1031" s="163">
        <v>44671</v>
      </c>
      <c r="B1031" s="162">
        <v>115.77</v>
      </c>
    </row>
    <row r="1032" spans="1:2" ht="18" x14ac:dyDescent="0.2">
      <c r="A1032" s="163">
        <v>44670</v>
      </c>
      <c r="B1032" s="162">
        <v>117.34</v>
      </c>
    </row>
    <row r="1033" spans="1:2" ht="18" x14ac:dyDescent="0.2">
      <c r="A1033" s="163">
        <v>44669</v>
      </c>
      <c r="B1033" s="162">
        <v>115.56</v>
      </c>
    </row>
    <row r="1034" spans="1:2" ht="18" x14ac:dyDescent="0.2">
      <c r="A1034" s="163">
        <v>44665</v>
      </c>
      <c r="B1034" s="162">
        <v>113.38</v>
      </c>
    </row>
    <row r="1035" spans="1:2" ht="18" x14ac:dyDescent="0.2">
      <c r="A1035" s="163">
        <v>44664</v>
      </c>
      <c r="B1035" s="162">
        <v>116.11</v>
      </c>
    </row>
    <row r="1036" spans="1:2" ht="18" x14ac:dyDescent="0.2">
      <c r="A1036" s="163">
        <v>44663</v>
      </c>
      <c r="B1036" s="162">
        <v>114.1</v>
      </c>
    </row>
    <row r="1037" spans="1:2" ht="18" x14ac:dyDescent="0.2">
      <c r="A1037" s="163">
        <v>44662</v>
      </c>
      <c r="B1037" s="162">
        <v>114.88</v>
      </c>
    </row>
    <row r="1038" spans="1:2" ht="18" x14ac:dyDescent="0.2">
      <c r="A1038" s="163">
        <v>44659</v>
      </c>
      <c r="B1038" s="162">
        <v>114.43</v>
      </c>
    </row>
    <row r="1039" spans="1:2" ht="18" x14ac:dyDescent="0.2">
      <c r="A1039" s="163">
        <v>44658</v>
      </c>
      <c r="B1039" s="162">
        <v>114.31</v>
      </c>
    </row>
    <row r="1040" spans="1:2" ht="18" x14ac:dyDescent="0.2">
      <c r="A1040" s="163">
        <v>44657</v>
      </c>
      <c r="B1040" s="162">
        <v>115.08</v>
      </c>
    </row>
    <row r="1041" spans="1:2" ht="18" x14ac:dyDescent="0.2">
      <c r="A1041" s="163">
        <v>44656</v>
      </c>
      <c r="B1041" s="162">
        <v>117.94</v>
      </c>
    </row>
    <row r="1042" spans="1:2" ht="18" x14ac:dyDescent="0.2">
      <c r="A1042" s="163">
        <v>44655</v>
      </c>
      <c r="B1042" s="162">
        <v>123.49</v>
      </c>
    </row>
    <row r="1043" spans="1:2" ht="18" x14ac:dyDescent="0.2">
      <c r="A1043" s="163">
        <v>44652</v>
      </c>
      <c r="B1043" s="162">
        <v>121.51</v>
      </c>
    </row>
    <row r="1044" spans="1:2" ht="18" x14ac:dyDescent="0.2">
      <c r="A1044" s="163">
        <v>44651</v>
      </c>
      <c r="B1044" s="162">
        <v>124.1</v>
      </c>
    </row>
    <row r="1045" spans="1:2" ht="18" x14ac:dyDescent="0.2">
      <c r="A1045" s="163">
        <v>44650</v>
      </c>
      <c r="B1045" s="162">
        <v>127.43</v>
      </c>
    </row>
    <row r="1046" spans="1:2" ht="18" x14ac:dyDescent="0.2">
      <c r="A1046" s="163">
        <v>44649</v>
      </c>
      <c r="B1046" s="162">
        <v>131.88999999999999</v>
      </c>
    </row>
    <row r="1047" spans="1:2" ht="18" x14ac:dyDescent="0.2">
      <c r="A1047" s="163">
        <v>44648</v>
      </c>
      <c r="B1047" s="162">
        <v>128.86000000000001</v>
      </c>
    </row>
    <row r="1048" spans="1:2" ht="18" x14ac:dyDescent="0.2">
      <c r="A1048" s="163">
        <v>44645</v>
      </c>
      <c r="B1048" s="162">
        <v>130.88</v>
      </c>
    </row>
    <row r="1049" spans="1:2" ht="18" x14ac:dyDescent="0.2">
      <c r="A1049" s="163">
        <v>44644</v>
      </c>
      <c r="B1049" s="162">
        <v>130.69999999999999</v>
      </c>
    </row>
    <row r="1050" spans="1:2" ht="18" x14ac:dyDescent="0.2">
      <c r="A1050" s="163">
        <v>44643</v>
      </c>
      <c r="B1050" s="162">
        <v>125.66</v>
      </c>
    </row>
    <row r="1051" spans="1:2" ht="18" x14ac:dyDescent="0.2">
      <c r="A1051" s="163">
        <v>44642</v>
      </c>
      <c r="B1051" s="162">
        <v>130.03</v>
      </c>
    </row>
    <row r="1052" spans="1:2" ht="18" x14ac:dyDescent="0.2">
      <c r="A1052" s="163">
        <v>44641</v>
      </c>
      <c r="B1052" s="162">
        <v>128.93</v>
      </c>
    </row>
    <row r="1053" spans="1:2" ht="18" x14ac:dyDescent="0.2">
      <c r="A1053" s="163">
        <v>44638</v>
      </c>
      <c r="B1053" s="162">
        <v>130.87</v>
      </c>
    </row>
    <row r="1054" spans="1:2" ht="18" x14ac:dyDescent="0.2">
      <c r="A1054" s="163">
        <v>44637</v>
      </c>
      <c r="B1054" s="162">
        <v>128.81</v>
      </c>
    </row>
    <row r="1055" spans="1:2" ht="18" x14ac:dyDescent="0.2">
      <c r="A1055" s="163">
        <v>44636</v>
      </c>
      <c r="B1055" s="162">
        <v>127.17</v>
      </c>
    </row>
    <row r="1056" spans="1:2" ht="18" x14ac:dyDescent="0.2">
      <c r="A1056" s="163">
        <v>44635</v>
      </c>
      <c r="B1056" s="162">
        <v>121.46</v>
      </c>
    </row>
    <row r="1057" spans="1:2" ht="18" x14ac:dyDescent="0.2">
      <c r="A1057" s="163">
        <v>44634</v>
      </c>
      <c r="B1057" s="162">
        <v>118.61</v>
      </c>
    </row>
    <row r="1058" spans="1:2" ht="18" x14ac:dyDescent="0.2">
      <c r="A1058" s="163">
        <v>44631</v>
      </c>
      <c r="B1058" s="162">
        <v>123.63</v>
      </c>
    </row>
    <row r="1059" spans="1:2" ht="18" x14ac:dyDescent="0.2">
      <c r="A1059" s="163">
        <v>44630</v>
      </c>
      <c r="B1059" s="162">
        <v>125.5</v>
      </c>
    </row>
    <row r="1060" spans="1:2" ht="18" x14ac:dyDescent="0.2">
      <c r="A1060" s="163">
        <v>44629</v>
      </c>
      <c r="B1060" s="162">
        <v>129.36000000000001</v>
      </c>
    </row>
    <row r="1061" spans="1:2" ht="18" x14ac:dyDescent="0.2">
      <c r="A1061" s="163">
        <v>44628</v>
      </c>
      <c r="B1061" s="162">
        <v>129.13999999999999</v>
      </c>
    </row>
    <row r="1062" spans="1:2" ht="18" x14ac:dyDescent="0.2">
      <c r="A1062" s="163">
        <v>44627</v>
      </c>
      <c r="B1062" s="162">
        <v>123.68</v>
      </c>
    </row>
    <row r="1063" spans="1:2" ht="18" x14ac:dyDescent="0.2">
      <c r="A1063" s="163">
        <v>44624</v>
      </c>
      <c r="B1063" s="162">
        <v>129.63</v>
      </c>
    </row>
    <row r="1064" spans="1:2" ht="18" x14ac:dyDescent="0.2">
      <c r="A1064" s="163">
        <v>44623</v>
      </c>
      <c r="B1064" s="162">
        <v>131.75</v>
      </c>
    </row>
    <row r="1065" spans="1:2" ht="18" x14ac:dyDescent="0.2">
      <c r="A1065" s="163">
        <v>44622</v>
      </c>
      <c r="B1065" s="162">
        <v>137.12</v>
      </c>
    </row>
    <row r="1066" spans="1:2" ht="18" x14ac:dyDescent="0.2">
      <c r="A1066" s="163">
        <v>44621</v>
      </c>
      <c r="B1066" s="162">
        <v>132.61000000000001</v>
      </c>
    </row>
    <row r="1067" spans="1:2" ht="18" x14ac:dyDescent="0.2">
      <c r="A1067" s="163">
        <v>44620</v>
      </c>
      <c r="B1067" s="162">
        <v>136.78</v>
      </c>
    </row>
    <row r="1068" spans="1:2" ht="18" x14ac:dyDescent="0.2">
      <c r="A1068" s="163">
        <v>44617</v>
      </c>
      <c r="B1068" s="162">
        <v>137.76</v>
      </c>
    </row>
    <row r="1069" spans="1:2" ht="18" x14ac:dyDescent="0.2">
      <c r="A1069" s="163">
        <v>44616</v>
      </c>
      <c r="B1069" s="162">
        <v>136.9</v>
      </c>
    </row>
    <row r="1070" spans="1:2" ht="18" x14ac:dyDescent="0.2">
      <c r="A1070" s="163">
        <v>44615</v>
      </c>
      <c r="B1070" s="162">
        <v>130.15</v>
      </c>
    </row>
    <row r="1071" spans="1:2" ht="18" x14ac:dyDescent="0.2">
      <c r="A1071" s="163">
        <v>44614</v>
      </c>
      <c r="B1071" s="162">
        <v>130.97999999999999</v>
      </c>
    </row>
    <row r="1072" spans="1:2" ht="18" x14ac:dyDescent="0.2">
      <c r="A1072" s="163">
        <v>44610</v>
      </c>
      <c r="B1072" s="162">
        <v>133.19999999999999</v>
      </c>
    </row>
    <row r="1073" spans="1:2" ht="18" x14ac:dyDescent="0.2">
      <c r="A1073" s="163">
        <v>44609</v>
      </c>
      <c r="B1073" s="162">
        <v>133.04</v>
      </c>
    </row>
    <row r="1074" spans="1:2" ht="18" x14ac:dyDescent="0.2">
      <c r="A1074" s="163">
        <v>44608</v>
      </c>
      <c r="B1074" s="162">
        <v>136.80000000000001</v>
      </c>
    </row>
    <row r="1075" spans="1:2" ht="18" x14ac:dyDescent="0.2">
      <c r="A1075" s="163">
        <v>44607</v>
      </c>
      <c r="B1075" s="162">
        <v>135.08000000000001</v>
      </c>
    </row>
    <row r="1076" spans="1:2" ht="18" x14ac:dyDescent="0.2">
      <c r="A1076" s="163">
        <v>44606</v>
      </c>
      <c r="B1076" s="162">
        <v>129.31</v>
      </c>
    </row>
    <row r="1077" spans="1:2" ht="18" x14ac:dyDescent="0.2">
      <c r="A1077" s="163">
        <v>44603</v>
      </c>
      <c r="B1077" s="162">
        <v>127.24</v>
      </c>
    </row>
    <row r="1078" spans="1:2" ht="18" x14ac:dyDescent="0.2">
      <c r="A1078" s="163">
        <v>44602</v>
      </c>
      <c r="B1078" s="162">
        <v>133.74</v>
      </c>
    </row>
    <row r="1079" spans="1:2" ht="18" x14ac:dyDescent="0.2">
      <c r="A1079" s="163">
        <v>44601</v>
      </c>
      <c r="B1079" s="162">
        <v>136.72</v>
      </c>
    </row>
    <row r="1080" spans="1:2" ht="18" x14ac:dyDescent="0.2">
      <c r="A1080" s="163">
        <v>44600</v>
      </c>
      <c r="B1080" s="162">
        <v>131.56</v>
      </c>
    </row>
    <row r="1081" spans="1:2" ht="18" x14ac:dyDescent="0.2">
      <c r="A1081" s="163">
        <v>44599</v>
      </c>
      <c r="B1081" s="162">
        <v>128.5</v>
      </c>
    </row>
    <row r="1082" spans="1:2" ht="18" x14ac:dyDescent="0.2">
      <c r="A1082" s="163">
        <v>44596</v>
      </c>
      <c r="B1082" s="162">
        <v>131.44999999999999</v>
      </c>
    </row>
    <row r="1083" spans="1:2" ht="18" x14ac:dyDescent="0.2">
      <c r="A1083" s="163">
        <v>44595</v>
      </c>
      <c r="B1083" s="162">
        <v>128.72</v>
      </c>
    </row>
    <row r="1084" spans="1:2" ht="18" x14ac:dyDescent="0.2">
      <c r="A1084" s="163">
        <v>44594</v>
      </c>
      <c r="B1084" s="162">
        <v>143.55000000000001</v>
      </c>
    </row>
    <row r="1085" spans="1:2" ht="18" x14ac:dyDescent="0.2">
      <c r="A1085" s="163">
        <v>44593</v>
      </c>
      <c r="B1085" s="162">
        <v>138.99</v>
      </c>
    </row>
    <row r="1086" spans="1:2" ht="18" x14ac:dyDescent="0.2">
      <c r="A1086" s="163">
        <v>44592</v>
      </c>
      <c r="B1086" s="162">
        <v>137.28</v>
      </c>
    </row>
    <row r="1087" spans="1:2" ht="18" x14ac:dyDescent="0.2">
      <c r="A1087" s="163">
        <v>44589</v>
      </c>
      <c r="B1087" s="162">
        <v>129.46</v>
      </c>
    </row>
    <row r="1088" spans="1:2" ht="18" x14ac:dyDescent="0.2">
      <c r="A1088" s="163">
        <v>44588</v>
      </c>
      <c r="B1088" s="162">
        <v>127.72</v>
      </c>
    </row>
    <row r="1089" spans="1:2" ht="18" x14ac:dyDescent="0.2">
      <c r="A1089" s="163">
        <v>44587</v>
      </c>
      <c r="B1089" s="162">
        <v>133.63999999999999</v>
      </c>
    </row>
    <row r="1090" spans="1:2" ht="18" x14ac:dyDescent="0.2">
      <c r="A1090" s="163">
        <v>44586</v>
      </c>
      <c r="B1090" s="162">
        <v>133.44999999999999</v>
      </c>
    </row>
    <row r="1091" spans="1:2" ht="18" x14ac:dyDescent="0.2">
      <c r="A1091" s="163">
        <v>44585</v>
      </c>
      <c r="B1091" s="162">
        <v>137.65</v>
      </c>
    </row>
    <row r="1092" spans="1:2" ht="18" x14ac:dyDescent="0.2">
      <c r="A1092" s="163">
        <v>44582</v>
      </c>
      <c r="B1092" s="162">
        <v>134.31</v>
      </c>
    </row>
    <row r="1093" spans="1:2" ht="18" x14ac:dyDescent="0.2">
      <c r="A1093" s="163">
        <v>44581</v>
      </c>
      <c r="B1093" s="162">
        <v>137.15</v>
      </c>
    </row>
    <row r="1094" spans="1:2" ht="18" x14ac:dyDescent="0.2">
      <c r="A1094" s="163">
        <v>44580</v>
      </c>
      <c r="B1094" s="162">
        <v>141.69</v>
      </c>
    </row>
    <row r="1095" spans="1:2" ht="18" x14ac:dyDescent="0.2">
      <c r="A1095" s="163">
        <v>44579</v>
      </c>
      <c r="B1095" s="162">
        <v>146.99</v>
      </c>
    </row>
    <row r="1096" spans="1:2" ht="18" x14ac:dyDescent="0.2">
      <c r="A1096" s="163">
        <v>44575</v>
      </c>
      <c r="B1096" s="162">
        <v>148.72999999999999</v>
      </c>
    </row>
    <row r="1097" spans="1:2" ht="18" x14ac:dyDescent="0.2">
      <c r="A1097" s="163">
        <v>44574</v>
      </c>
      <c r="B1097" s="162">
        <v>146.75</v>
      </c>
    </row>
    <row r="1098" spans="1:2" ht="18" x14ac:dyDescent="0.2">
      <c r="A1098" s="163">
        <v>44573</v>
      </c>
      <c r="B1098" s="162">
        <v>152.84</v>
      </c>
    </row>
    <row r="1099" spans="1:2" ht="18" x14ac:dyDescent="0.2">
      <c r="A1099" s="163">
        <v>44572</v>
      </c>
      <c r="B1099" s="162">
        <v>151.72</v>
      </c>
    </row>
    <row r="1100" spans="1:2" ht="18" x14ac:dyDescent="0.2">
      <c r="A1100" s="163">
        <v>44571</v>
      </c>
      <c r="B1100" s="162">
        <v>151.56</v>
      </c>
    </row>
    <row r="1101" spans="1:2" ht="18" x14ac:dyDescent="0.2">
      <c r="A1101" s="163">
        <v>44568</v>
      </c>
      <c r="B1101" s="162">
        <v>154.69</v>
      </c>
    </row>
    <row r="1102" spans="1:2" ht="18" x14ac:dyDescent="0.2">
      <c r="A1102" s="163">
        <v>44567</v>
      </c>
      <c r="B1102" s="162">
        <v>158.36000000000001</v>
      </c>
    </row>
    <row r="1103" spans="1:2" ht="18" x14ac:dyDescent="0.2">
      <c r="A1103" s="163">
        <v>44566</v>
      </c>
      <c r="B1103" s="162">
        <v>157.24</v>
      </c>
    </row>
    <row r="1104" spans="1:2" ht="18" x14ac:dyDescent="0.2">
      <c r="A1104" s="163">
        <v>44565</v>
      </c>
      <c r="B1104" s="162">
        <v>160.44999999999999</v>
      </c>
    </row>
    <row r="1105" spans="1:2" ht="18" x14ac:dyDescent="0.2">
      <c r="A1105" s="163">
        <v>44564</v>
      </c>
      <c r="B1105" s="162">
        <v>159.43</v>
      </c>
    </row>
    <row r="1106" spans="1:2" ht="18" x14ac:dyDescent="0.2">
      <c r="A1106" s="163">
        <v>44561</v>
      </c>
      <c r="B1106" s="162">
        <v>156.38999999999999</v>
      </c>
    </row>
    <row r="1107" spans="1:2" ht="18" x14ac:dyDescent="0.2">
      <c r="A1107" s="163">
        <v>44560</v>
      </c>
      <c r="B1107" s="162">
        <v>156.06</v>
      </c>
    </row>
    <row r="1108" spans="1:2" ht="18" x14ac:dyDescent="0.2">
      <c r="A1108" s="163">
        <v>44559</v>
      </c>
      <c r="B1108" s="162">
        <v>156.91</v>
      </c>
    </row>
    <row r="1109" spans="1:2" ht="18" x14ac:dyDescent="0.2">
      <c r="A1109" s="163">
        <v>44558</v>
      </c>
      <c r="B1109" s="162">
        <v>156.44</v>
      </c>
    </row>
    <row r="1110" spans="1:2" ht="18" x14ac:dyDescent="0.2">
      <c r="A1110" s="163">
        <v>44557</v>
      </c>
      <c r="B1110" s="162">
        <v>155.41999999999999</v>
      </c>
    </row>
    <row r="1111" spans="1:2" ht="18" x14ac:dyDescent="0.2">
      <c r="A1111" s="163">
        <v>44553</v>
      </c>
      <c r="B1111" s="162">
        <v>152.07</v>
      </c>
    </row>
    <row r="1112" spans="1:2" ht="18" x14ac:dyDescent="0.2">
      <c r="A1112" s="163">
        <v>44552</v>
      </c>
      <c r="B1112" s="162">
        <v>151.41</v>
      </c>
    </row>
    <row r="1113" spans="1:2" ht="18" x14ac:dyDescent="0.2">
      <c r="A1113" s="163">
        <v>44551</v>
      </c>
      <c r="B1113" s="162">
        <v>150.49</v>
      </c>
    </row>
    <row r="1114" spans="1:2" ht="18" x14ac:dyDescent="0.2">
      <c r="A1114" s="163">
        <v>44550</v>
      </c>
      <c r="B1114" s="162">
        <v>146.16</v>
      </c>
    </row>
    <row r="1115" spans="1:2" ht="18" x14ac:dyDescent="0.2">
      <c r="A1115" s="163">
        <v>44547</v>
      </c>
      <c r="B1115" s="162">
        <v>147.68</v>
      </c>
    </row>
    <row r="1116" spans="1:2" ht="18" x14ac:dyDescent="0.2">
      <c r="A1116" s="163">
        <v>44546</v>
      </c>
      <c r="B1116" s="162">
        <v>147.69999999999999</v>
      </c>
    </row>
    <row r="1117" spans="1:2" ht="18" x14ac:dyDescent="0.2">
      <c r="A1117" s="163">
        <v>44545</v>
      </c>
      <c r="B1117" s="162">
        <v>152.88</v>
      </c>
    </row>
    <row r="1118" spans="1:2" ht="18" x14ac:dyDescent="0.2">
      <c r="A1118" s="163">
        <v>44544</v>
      </c>
      <c r="B1118" s="162">
        <v>152.47</v>
      </c>
    </row>
    <row r="1119" spans="1:2" ht="18" x14ac:dyDescent="0.2">
      <c r="A1119" s="163">
        <v>44543</v>
      </c>
      <c r="B1119" s="162">
        <v>154.99</v>
      </c>
    </row>
    <row r="1120" spans="1:2" ht="18" x14ac:dyDescent="0.2">
      <c r="A1120" s="163">
        <v>44540</v>
      </c>
      <c r="B1120" s="162">
        <v>159.22999999999999</v>
      </c>
    </row>
    <row r="1121" spans="1:2" ht="18" x14ac:dyDescent="0.2">
      <c r="A1121" s="163">
        <v>44539</v>
      </c>
      <c r="B1121" s="162">
        <v>159.56</v>
      </c>
    </row>
    <row r="1122" spans="1:2" ht="18" x14ac:dyDescent="0.2">
      <c r="A1122" s="163">
        <v>44538</v>
      </c>
      <c r="B1122" s="162">
        <v>161.37</v>
      </c>
    </row>
    <row r="1123" spans="1:2" ht="18" x14ac:dyDescent="0.2">
      <c r="A1123" s="163">
        <v>44537</v>
      </c>
      <c r="B1123" s="162">
        <v>161.51</v>
      </c>
    </row>
    <row r="1124" spans="1:2" ht="18" x14ac:dyDescent="0.2">
      <c r="A1124" s="163">
        <v>44536</v>
      </c>
      <c r="B1124" s="162">
        <v>152.72999999999999</v>
      </c>
    </row>
    <row r="1125" spans="1:2" ht="18" x14ac:dyDescent="0.2">
      <c r="A1125" s="163">
        <v>44533</v>
      </c>
      <c r="B1125" s="162">
        <v>149.91</v>
      </c>
    </row>
    <row r="1126" spans="1:2" ht="18" x14ac:dyDescent="0.2">
      <c r="A1126" s="163">
        <v>44532</v>
      </c>
      <c r="B1126" s="162">
        <v>149.18</v>
      </c>
    </row>
    <row r="1127" spans="1:2" ht="18" x14ac:dyDescent="0.2">
      <c r="A1127" s="163">
        <v>44531</v>
      </c>
      <c r="B1127" s="162">
        <v>146.1</v>
      </c>
    </row>
    <row r="1128" spans="1:2" ht="18" x14ac:dyDescent="0.2">
      <c r="A1128" s="163">
        <v>44530</v>
      </c>
      <c r="B1128" s="162">
        <v>146.22999999999999</v>
      </c>
    </row>
    <row r="1129" spans="1:2" ht="18" x14ac:dyDescent="0.2">
      <c r="A1129" s="163">
        <v>44529</v>
      </c>
      <c r="B1129" s="162">
        <v>150.84</v>
      </c>
    </row>
    <row r="1130" spans="1:2" ht="18" x14ac:dyDescent="0.2">
      <c r="A1130" s="163">
        <v>44526</v>
      </c>
      <c r="B1130" s="162">
        <v>148.11000000000001</v>
      </c>
    </row>
    <row r="1131" spans="1:2" ht="18" x14ac:dyDescent="0.2">
      <c r="A1131" s="163">
        <v>44524</v>
      </c>
      <c r="B1131" s="162">
        <v>152.62</v>
      </c>
    </row>
    <row r="1132" spans="1:2" ht="18" x14ac:dyDescent="0.2">
      <c r="A1132" s="163">
        <v>44523</v>
      </c>
      <c r="B1132" s="162">
        <v>152.59</v>
      </c>
    </row>
    <row r="1133" spans="1:2" ht="18" x14ac:dyDescent="0.2">
      <c r="A1133" s="163">
        <v>44522</v>
      </c>
      <c r="B1133" s="162">
        <v>151.25</v>
      </c>
    </row>
    <row r="1134" spans="1:2" ht="18" x14ac:dyDescent="0.2">
      <c r="A1134" s="163">
        <v>44519</v>
      </c>
      <c r="B1134" s="162">
        <v>155.19</v>
      </c>
    </row>
    <row r="1135" spans="1:2" ht="18" x14ac:dyDescent="0.2">
      <c r="A1135" s="163">
        <v>44518</v>
      </c>
      <c r="B1135" s="162">
        <v>156.34</v>
      </c>
    </row>
    <row r="1136" spans="1:2" ht="18" x14ac:dyDescent="0.2">
      <c r="A1136" s="163">
        <v>44517</v>
      </c>
      <c r="B1136" s="162">
        <v>157.94</v>
      </c>
    </row>
    <row r="1137" spans="1:2" ht="18" x14ac:dyDescent="0.2">
      <c r="A1137" s="163">
        <v>44516</v>
      </c>
      <c r="B1137" s="162">
        <v>159.31</v>
      </c>
    </row>
    <row r="1138" spans="1:2" ht="18" x14ac:dyDescent="0.2">
      <c r="A1138" s="163">
        <v>44515</v>
      </c>
      <c r="B1138" s="162">
        <v>158.91</v>
      </c>
    </row>
    <row r="1139" spans="1:2" ht="18" x14ac:dyDescent="0.2">
      <c r="A1139" s="163">
        <v>44512</v>
      </c>
      <c r="B1139" s="162">
        <v>160.5</v>
      </c>
    </row>
    <row r="1140" spans="1:2" ht="18" x14ac:dyDescent="0.2">
      <c r="A1140" s="163">
        <v>44511</v>
      </c>
      <c r="B1140" s="162">
        <v>157.68</v>
      </c>
    </row>
    <row r="1141" spans="1:2" ht="18" x14ac:dyDescent="0.2">
      <c r="A1141" s="163">
        <v>44510</v>
      </c>
      <c r="B1141" s="162">
        <v>154.28</v>
      </c>
    </row>
    <row r="1142" spans="1:2" ht="18" x14ac:dyDescent="0.2">
      <c r="A1142" s="163">
        <v>44509</v>
      </c>
      <c r="B1142" s="162">
        <v>157.63999999999999</v>
      </c>
    </row>
    <row r="1143" spans="1:2" ht="18" x14ac:dyDescent="0.2">
      <c r="A1143" s="163">
        <v>44508</v>
      </c>
      <c r="B1143" s="162">
        <v>159.30000000000001</v>
      </c>
    </row>
    <row r="1144" spans="1:2" ht="18" x14ac:dyDescent="0.2">
      <c r="A1144" s="163">
        <v>44505</v>
      </c>
      <c r="B1144" s="162">
        <v>156.07</v>
      </c>
    </row>
    <row r="1145" spans="1:2" ht="18" x14ac:dyDescent="0.2">
      <c r="A1145" s="163">
        <v>44504</v>
      </c>
      <c r="B1145" s="162">
        <v>154.46</v>
      </c>
    </row>
    <row r="1146" spans="1:2" ht="18" x14ac:dyDescent="0.2">
      <c r="A1146" s="163">
        <v>44503</v>
      </c>
      <c r="B1146" s="162">
        <v>178.12</v>
      </c>
    </row>
    <row r="1147" spans="1:2" ht="18" x14ac:dyDescent="0.2">
      <c r="A1147" s="163">
        <v>44502</v>
      </c>
      <c r="B1147" s="162">
        <v>172.09</v>
      </c>
    </row>
    <row r="1148" spans="1:2" ht="18" x14ac:dyDescent="0.2">
      <c r="A1148" s="163">
        <v>44501</v>
      </c>
      <c r="B1148" s="162">
        <v>172.07</v>
      </c>
    </row>
    <row r="1149" spans="1:2" ht="18" x14ac:dyDescent="0.2">
      <c r="A1149" s="163">
        <v>44498</v>
      </c>
      <c r="B1149" s="162">
        <v>168.23</v>
      </c>
    </row>
    <row r="1150" spans="1:2" ht="18" x14ac:dyDescent="0.2">
      <c r="A1150" s="163">
        <v>44497</v>
      </c>
      <c r="B1150" s="162">
        <v>168.93</v>
      </c>
    </row>
    <row r="1151" spans="1:2" ht="18" x14ac:dyDescent="0.2">
      <c r="A1151" s="163">
        <v>44496</v>
      </c>
      <c r="B1151" s="162">
        <v>165.27</v>
      </c>
    </row>
    <row r="1152" spans="1:2" ht="18" x14ac:dyDescent="0.2">
      <c r="A1152" s="163">
        <v>44495</v>
      </c>
      <c r="B1152" s="162">
        <v>165.28</v>
      </c>
    </row>
    <row r="1153" spans="1:2" ht="18" x14ac:dyDescent="0.2">
      <c r="A1153" s="163">
        <v>44494</v>
      </c>
      <c r="B1153" s="162">
        <v>167.32</v>
      </c>
    </row>
    <row r="1154" spans="1:2" ht="18" x14ac:dyDescent="0.2">
      <c r="A1154" s="163">
        <v>44491</v>
      </c>
      <c r="B1154" s="162">
        <v>168.01</v>
      </c>
    </row>
    <row r="1155" spans="1:2" ht="18" x14ac:dyDescent="0.2">
      <c r="A1155" s="163">
        <v>44490</v>
      </c>
      <c r="B1155" s="162">
        <v>170.26</v>
      </c>
    </row>
    <row r="1156" spans="1:2" ht="18" x14ac:dyDescent="0.2">
      <c r="A1156" s="163">
        <v>44489</v>
      </c>
      <c r="B1156" s="162">
        <v>169.51</v>
      </c>
    </row>
    <row r="1157" spans="1:2" ht="18" x14ac:dyDescent="0.2">
      <c r="A1157" s="163">
        <v>44488</v>
      </c>
      <c r="B1157" s="162">
        <v>168.76</v>
      </c>
    </row>
    <row r="1158" spans="1:2" ht="18" x14ac:dyDescent="0.2">
      <c r="A1158" s="163">
        <v>44487</v>
      </c>
      <c r="B1158" s="162">
        <v>165.3</v>
      </c>
    </row>
    <row r="1159" spans="1:2" ht="18" x14ac:dyDescent="0.2">
      <c r="A1159" s="163">
        <v>44484</v>
      </c>
      <c r="B1159" s="162">
        <v>165.87</v>
      </c>
    </row>
    <row r="1160" spans="1:2" ht="18" x14ac:dyDescent="0.2">
      <c r="A1160" s="163">
        <v>44483</v>
      </c>
      <c r="B1160" s="162">
        <v>164.61</v>
      </c>
    </row>
    <row r="1161" spans="1:2" ht="18" x14ac:dyDescent="0.2">
      <c r="A1161" s="163">
        <v>44482</v>
      </c>
      <c r="B1161" s="162">
        <v>160.05000000000001</v>
      </c>
    </row>
    <row r="1162" spans="1:2" ht="18" x14ac:dyDescent="0.2">
      <c r="A1162" s="163">
        <v>44481</v>
      </c>
      <c r="B1162" s="162">
        <v>160.26</v>
      </c>
    </row>
    <row r="1163" spans="1:2" ht="18" x14ac:dyDescent="0.2">
      <c r="A1163" s="163">
        <v>44480</v>
      </c>
      <c r="B1163" s="162">
        <v>163.68</v>
      </c>
    </row>
    <row r="1164" spans="1:2" ht="18" x14ac:dyDescent="0.2">
      <c r="A1164" s="163">
        <v>44477</v>
      </c>
      <c r="B1164" s="162">
        <v>165.83</v>
      </c>
    </row>
    <row r="1165" spans="1:2" ht="18" x14ac:dyDescent="0.2">
      <c r="A1165" s="163">
        <v>44476</v>
      </c>
      <c r="B1165" s="162">
        <v>165.33</v>
      </c>
    </row>
    <row r="1166" spans="1:2" ht="18" x14ac:dyDescent="0.2">
      <c r="A1166" s="163">
        <v>44475</v>
      </c>
      <c r="B1166" s="162">
        <v>164.84</v>
      </c>
    </row>
    <row r="1167" spans="1:2" ht="18" x14ac:dyDescent="0.2">
      <c r="A1167" s="163">
        <v>44474</v>
      </c>
      <c r="B1167" s="162">
        <v>166.06</v>
      </c>
    </row>
    <row r="1168" spans="1:2" ht="18" x14ac:dyDescent="0.2">
      <c r="A1168" s="163">
        <v>44473</v>
      </c>
      <c r="B1168" s="162">
        <v>163.99</v>
      </c>
    </row>
    <row r="1169" spans="1:2" ht="18" x14ac:dyDescent="0.2">
      <c r="A1169" s="163">
        <v>44470</v>
      </c>
      <c r="B1169" s="162">
        <v>169.26</v>
      </c>
    </row>
    <row r="1170" spans="1:2" ht="18" x14ac:dyDescent="0.2">
      <c r="A1170" s="163">
        <v>44469</v>
      </c>
      <c r="B1170" s="162">
        <v>167.19</v>
      </c>
    </row>
    <row r="1171" spans="1:2" ht="18" x14ac:dyDescent="0.2">
      <c r="A1171" s="163">
        <v>44468</v>
      </c>
      <c r="B1171" s="162">
        <v>169.91</v>
      </c>
    </row>
    <row r="1172" spans="1:2" ht="18" x14ac:dyDescent="0.2">
      <c r="A1172" s="163">
        <v>44467</v>
      </c>
      <c r="B1172" s="162">
        <v>171.42</v>
      </c>
    </row>
    <row r="1173" spans="1:2" ht="18" x14ac:dyDescent="0.2">
      <c r="A1173" s="163">
        <v>44466</v>
      </c>
      <c r="B1173" s="162">
        <v>175.68</v>
      </c>
    </row>
    <row r="1174" spans="1:2" ht="18" x14ac:dyDescent="0.2">
      <c r="A1174" s="163">
        <v>44463</v>
      </c>
      <c r="B1174" s="162">
        <v>174.05</v>
      </c>
    </row>
    <row r="1175" spans="1:2" ht="18" x14ac:dyDescent="0.2">
      <c r="A1175" s="163">
        <v>44462</v>
      </c>
      <c r="B1175" s="162">
        <v>174.12</v>
      </c>
    </row>
    <row r="1176" spans="1:2" ht="18" x14ac:dyDescent="0.2">
      <c r="A1176" s="163">
        <v>44461</v>
      </c>
      <c r="B1176" s="162">
        <v>173.33</v>
      </c>
    </row>
    <row r="1177" spans="1:2" ht="18" x14ac:dyDescent="0.2">
      <c r="A1177" s="163">
        <v>44460</v>
      </c>
      <c r="B1177" s="162">
        <v>171.17</v>
      </c>
    </row>
    <row r="1178" spans="1:2" ht="18" x14ac:dyDescent="0.2">
      <c r="A1178" s="163">
        <v>44459</v>
      </c>
      <c r="B1178" s="162">
        <v>170.08</v>
      </c>
    </row>
    <row r="1179" spans="1:2" ht="18" x14ac:dyDescent="0.2">
      <c r="A1179" s="163">
        <v>44456</v>
      </c>
      <c r="B1179" s="162">
        <v>175.3</v>
      </c>
    </row>
    <row r="1180" spans="1:2" ht="18" x14ac:dyDescent="0.2">
      <c r="A1180" s="163">
        <v>44455</v>
      </c>
      <c r="B1180" s="162">
        <v>180.31</v>
      </c>
    </row>
    <row r="1181" spans="1:2" ht="18" x14ac:dyDescent="0.2">
      <c r="A1181" s="163">
        <v>44454</v>
      </c>
      <c r="B1181" s="162">
        <v>179.91</v>
      </c>
    </row>
    <row r="1182" spans="1:2" ht="18" x14ac:dyDescent="0.2">
      <c r="A1182" s="163">
        <v>44453</v>
      </c>
      <c r="B1182" s="162">
        <v>182.13</v>
      </c>
    </row>
    <row r="1183" spans="1:2" ht="18" x14ac:dyDescent="0.2">
      <c r="A1183" s="163">
        <v>44452</v>
      </c>
      <c r="B1183" s="162">
        <v>182.37</v>
      </c>
    </row>
    <row r="1184" spans="1:2" ht="18" x14ac:dyDescent="0.2">
      <c r="A1184" s="163">
        <v>44449</v>
      </c>
      <c r="B1184" s="162">
        <v>179.3</v>
      </c>
    </row>
    <row r="1185" spans="1:2" ht="18" x14ac:dyDescent="0.2">
      <c r="A1185" s="163">
        <v>44448</v>
      </c>
      <c r="B1185" s="162">
        <v>178.96</v>
      </c>
    </row>
    <row r="1186" spans="1:2" ht="18" x14ac:dyDescent="0.2">
      <c r="A1186" s="163">
        <v>44447</v>
      </c>
      <c r="B1186" s="162">
        <v>178.76</v>
      </c>
    </row>
    <row r="1187" spans="1:2" ht="18" x14ac:dyDescent="0.2">
      <c r="A1187" s="163">
        <v>44446</v>
      </c>
      <c r="B1187" s="162">
        <v>182.68</v>
      </c>
    </row>
    <row r="1188" spans="1:2" ht="18" x14ac:dyDescent="0.2">
      <c r="A1188" s="163">
        <v>44442</v>
      </c>
      <c r="B1188" s="162">
        <v>185.36</v>
      </c>
    </row>
    <row r="1189" spans="1:2" ht="18" x14ac:dyDescent="0.2">
      <c r="A1189" s="163">
        <v>44441</v>
      </c>
      <c r="B1189" s="162">
        <v>185.9</v>
      </c>
    </row>
    <row r="1190" spans="1:2" ht="18" x14ac:dyDescent="0.2">
      <c r="A1190" s="163">
        <v>44440</v>
      </c>
      <c r="B1190" s="162">
        <v>186.06</v>
      </c>
    </row>
    <row r="1191" spans="1:2" ht="18" x14ac:dyDescent="0.2">
      <c r="A1191" s="163">
        <v>44439</v>
      </c>
      <c r="B1191" s="162">
        <v>188.03</v>
      </c>
    </row>
    <row r="1192" spans="1:2" ht="18" x14ac:dyDescent="0.2">
      <c r="A1192" s="163">
        <v>44438</v>
      </c>
      <c r="B1192" s="162">
        <v>190.83</v>
      </c>
    </row>
    <row r="1193" spans="1:2" ht="18" x14ac:dyDescent="0.2">
      <c r="A1193" s="163">
        <v>44435</v>
      </c>
      <c r="B1193" s="162">
        <v>190.73</v>
      </c>
    </row>
    <row r="1194" spans="1:2" ht="18" x14ac:dyDescent="0.2">
      <c r="A1194" s="163">
        <v>44434</v>
      </c>
      <c r="B1194" s="162">
        <v>185.87</v>
      </c>
    </row>
    <row r="1195" spans="1:2" ht="18" x14ac:dyDescent="0.2">
      <c r="A1195" s="163">
        <v>44433</v>
      </c>
      <c r="B1195" s="162">
        <v>185.62</v>
      </c>
    </row>
    <row r="1196" spans="1:2" ht="18" x14ac:dyDescent="0.2">
      <c r="A1196" s="163">
        <v>44432</v>
      </c>
      <c r="B1196" s="162">
        <v>184.8</v>
      </c>
    </row>
    <row r="1197" spans="1:2" ht="18" x14ac:dyDescent="0.2">
      <c r="A1197" s="163">
        <v>44431</v>
      </c>
      <c r="B1197" s="162">
        <v>184.23</v>
      </c>
    </row>
    <row r="1198" spans="1:2" ht="18" x14ac:dyDescent="0.2">
      <c r="A1198" s="163">
        <v>44428</v>
      </c>
      <c r="B1198" s="162">
        <v>181.56</v>
      </c>
    </row>
    <row r="1199" spans="1:2" ht="18" x14ac:dyDescent="0.2">
      <c r="A1199" s="163">
        <v>44427</v>
      </c>
      <c r="B1199" s="162">
        <v>180.13</v>
      </c>
    </row>
    <row r="1200" spans="1:2" ht="18" x14ac:dyDescent="0.2">
      <c r="A1200" s="163">
        <v>44426</v>
      </c>
      <c r="B1200" s="162">
        <v>179.82</v>
      </c>
    </row>
    <row r="1201" spans="1:2" ht="18" x14ac:dyDescent="0.2">
      <c r="A1201" s="163">
        <v>44425</v>
      </c>
      <c r="B1201" s="162">
        <v>183.46</v>
      </c>
    </row>
    <row r="1202" spans="1:2" ht="18" x14ac:dyDescent="0.2">
      <c r="A1202" s="163">
        <v>44424</v>
      </c>
      <c r="B1202" s="162">
        <v>187.57</v>
      </c>
    </row>
    <row r="1203" spans="1:2" ht="18" x14ac:dyDescent="0.2">
      <c r="A1203" s="163">
        <v>44421</v>
      </c>
      <c r="B1203" s="162">
        <v>188.36</v>
      </c>
    </row>
    <row r="1204" spans="1:2" ht="18" x14ac:dyDescent="0.2">
      <c r="A1204" s="163">
        <v>44420</v>
      </c>
      <c r="B1204" s="162">
        <v>188.13</v>
      </c>
    </row>
    <row r="1205" spans="1:2" ht="18" x14ac:dyDescent="0.2">
      <c r="A1205" s="163">
        <v>44419</v>
      </c>
      <c r="B1205" s="162">
        <v>189.73</v>
      </c>
    </row>
    <row r="1206" spans="1:2" ht="18" x14ac:dyDescent="0.2">
      <c r="A1206" s="163">
        <v>44418</v>
      </c>
      <c r="B1206" s="162">
        <v>190.81</v>
      </c>
    </row>
    <row r="1207" spans="1:2" ht="18" x14ac:dyDescent="0.2">
      <c r="A1207" s="163">
        <v>44417</v>
      </c>
      <c r="B1207" s="162">
        <v>193.62</v>
      </c>
    </row>
    <row r="1208" spans="1:2" ht="18" x14ac:dyDescent="0.2">
      <c r="A1208" s="163">
        <v>44414</v>
      </c>
      <c r="B1208" s="162">
        <v>195.02</v>
      </c>
    </row>
    <row r="1209" spans="1:2" ht="18" x14ac:dyDescent="0.2">
      <c r="A1209" s="163">
        <v>44413</v>
      </c>
      <c r="B1209" s="162">
        <v>194.76</v>
      </c>
    </row>
    <row r="1210" spans="1:2" ht="18" x14ac:dyDescent="0.2">
      <c r="A1210" s="163">
        <v>44412</v>
      </c>
      <c r="B1210" s="162">
        <v>193.88</v>
      </c>
    </row>
    <row r="1211" spans="1:2" ht="18" x14ac:dyDescent="0.2">
      <c r="A1211" s="163">
        <v>44411</v>
      </c>
      <c r="B1211" s="162">
        <v>195.18</v>
      </c>
    </row>
    <row r="1212" spans="1:2" ht="18" x14ac:dyDescent="0.2">
      <c r="A1212" s="163">
        <v>44410</v>
      </c>
      <c r="B1212" s="162">
        <v>192.36</v>
      </c>
    </row>
    <row r="1213" spans="1:2" ht="18" x14ac:dyDescent="0.2">
      <c r="A1213" s="163">
        <v>44407</v>
      </c>
      <c r="B1213" s="162">
        <v>189.59</v>
      </c>
    </row>
    <row r="1214" spans="1:2" ht="18" x14ac:dyDescent="0.2">
      <c r="A1214" s="163">
        <v>44406</v>
      </c>
      <c r="B1214" s="162">
        <v>194.04</v>
      </c>
    </row>
    <row r="1215" spans="1:2" ht="18" x14ac:dyDescent="0.2">
      <c r="A1215" s="163">
        <v>44405</v>
      </c>
      <c r="B1215" s="162">
        <v>190.34</v>
      </c>
    </row>
    <row r="1216" spans="1:2" ht="18" x14ac:dyDescent="0.2">
      <c r="A1216" s="163">
        <v>44404</v>
      </c>
      <c r="B1216" s="162">
        <v>187.15</v>
      </c>
    </row>
    <row r="1217" spans="1:2" ht="18" x14ac:dyDescent="0.2">
      <c r="A1217" s="163">
        <v>44403</v>
      </c>
      <c r="B1217" s="162">
        <v>192</v>
      </c>
    </row>
    <row r="1218" spans="1:2" ht="18" x14ac:dyDescent="0.2">
      <c r="A1218" s="163">
        <v>44400</v>
      </c>
      <c r="B1218" s="162">
        <v>193.09</v>
      </c>
    </row>
    <row r="1219" spans="1:2" ht="18" x14ac:dyDescent="0.2">
      <c r="A1219" s="163">
        <v>44399</v>
      </c>
      <c r="B1219" s="162">
        <v>191.41</v>
      </c>
    </row>
    <row r="1220" spans="1:2" ht="18" x14ac:dyDescent="0.2">
      <c r="A1220" s="163">
        <v>44398</v>
      </c>
      <c r="B1220" s="162">
        <v>194.07</v>
      </c>
    </row>
    <row r="1221" spans="1:2" ht="18" x14ac:dyDescent="0.2">
      <c r="A1221" s="163">
        <v>44397</v>
      </c>
      <c r="B1221" s="162">
        <v>189.7</v>
      </c>
    </row>
    <row r="1222" spans="1:2" ht="18" x14ac:dyDescent="0.2">
      <c r="A1222" s="163">
        <v>44396</v>
      </c>
      <c r="B1222" s="162">
        <v>187.13</v>
      </c>
    </row>
    <row r="1223" spans="1:2" ht="18" x14ac:dyDescent="0.2">
      <c r="A1223" s="163">
        <v>44393</v>
      </c>
      <c r="B1223" s="162">
        <v>187.68</v>
      </c>
    </row>
    <row r="1224" spans="1:2" ht="18" x14ac:dyDescent="0.2">
      <c r="A1224" s="163">
        <v>44392</v>
      </c>
      <c r="B1224" s="162">
        <v>190.95</v>
      </c>
    </row>
    <row r="1225" spans="1:2" ht="18" x14ac:dyDescent="0.2">
      <c r="A1225" s="163">
        <v>44391</v>
      </c>
      <c r="B1225" s="162">
        <v>192.42</v>
      </c>
    </row>
    <row r="1226" spans="1:2" ht="18" x14ac:dyDescent="0.2">
      <c r="A1226" s="163">
        <v>44390</v>
      </c>
      <c r="B1226" s="162">
        <v>192.79</v>
      </c>
    </row>
    <row r="1227" spans="1:2" ht="18" x14ac:dyDescent="0.2">
      <c r="A1227" s="163">
        <v>44389</v>
      </c>
      <c r="B1227" s="162">
        <v>193.62</v>
      </c>
    </row>
    <row r="1228" spans="1:2" ht="18" x14ac:dyDescent="0.2">
      <c r="A1228" s="163">
        <v>44386</v>
      </c>
      <c r="B1228" s="162">
        <v>192.94</v>
      </c>
    </row>
    <row r="1229" spans="1:2" ht="18" x14ac:dyDescent="0.2">
      <c r="A1229" s="163">
        <v>44385</v>
      </c>
      <c r="B1229" s="162">
        <v>189.44</v>
      </c>
    </row>
    <row r="1230" spans="1:2" ht="18" x14ac:dyDescent="0.2">
      <c r="A1230" s="163">
        <v>44384</v>
      </c>
      <c r="B1230" s="162">
        <v>192</v>
      </c>
    </row>
    <row r="1231" spans="1:2" ht="18" x14ac:dyDescent="0.2">
      <c r="A1231" s="163">
        <v>44383</v>
      </c>
      <c r="B1231" s="162">
        <v>194.3</v>
      </c>
    </row>
    <row r="1232" spans="1:2" ht="18" x14ac:dyDescent="0.2">
      <c r="A1232" s="163">
        <v>44379</v>
      </c>
      <c r="B1232" s="162">
        <v>195.67</v>
      </c>
    </row>
    <row r="1233" spans="1:2" ht="18" x14ac:dyDescent="0.2">
      <c r="A1233" s="163">
        <v>44378</v>
      </c>
      <c r="B1233" s="162">
        <v>193.18</v>
      </c>
    </row>
    <row r="1234" spans="1:2" ht="18" x14ac:dyDescent="0.2">
      <c r="A1234" s="163">
        <v>44377</v>
      </c>
      <c r="B1234" s="162">
        <v>195.65</v>
      </c>
    </row>
    <row r="1235" spans="1:2" ht="18" x14ac:dyDescent="0.2">
      <c r="A1235" s="163">
        <v>44376</v>
      </c>
      <c r="B1235" s="162">
        <v>195.66</v>
      </c>
    </row>
    <row r="1236" spans="1:2" ht="18" x14ac:dyDescent="0.2">
      <c r="A1236" s="163">
        <v>44375</v>
      </c>
      <c r="B1236" s="162">
        <v>187.33</v>
      </c>
    </row>
    <row r="1237" spans="1:2" ht="18" x14ac:dyDescent="0.2">
      <c r="A1237" s="163">
        <v>44372</v>
      </c>
      <c r="B1237" s="162">
        <v>183.35</v>
      </c>
    </row>
    <row r="1238" spans="1:2" ht="18" x14ac:dyDescent="0.2">
      <c r="A1238" s="163">
        <v>44371</v>
      </c>
      <c r="B1238" s="162">
        <v>182.89</v>
      </c>
    </row>
    <row r="1239" spans="1:2" ht="18" x14ac:dyDescent="0.2">
      <c r="A1239" s="163">
        <v>44370</v>
      </c>
      <c r="B1239" s="162">
        <v>177.88</v>
      </c>
    </row>
    <row r="1240" spans="1:2" ht="18" x14ac:dyDescent="0.2">
      <c r="A1240" s="163">
        <v>44369</v>
      </c>
      <c r="B1240" s="162">
        <v>176.26</v>
      </c>
    </row>
    <row r="1241" spans="1:2" ht="18" x14ac:dyDescent="0.2">
      <c r="A1241" s="163">
        <v>44368</v>
      </c>
      <c r="B1241" s="162">
        <v>176.24</v>
      </c>
    </row>
    <row r="1242" spans="1:2" ht="18" x14ac:dyDescent="0.2">
      <c r="A1242" s="163">
        <v>44365</v>
      </c>
      <c r="B1242" s="162">
        <v>174.19</v>
      </c>
    </row>
    <row r="1243" spans="1:2" ht="18" x14ac:dyDescent="0.2">
      <c r="A1243" s="163">
        <v>44364</v>
      </c>
      <c r="B1243" s="162">
        <v>181.33</v>
      </c>
    </row>
    <row r="1244" spans="1:2" ht="18" x14ac:dyDescent="0.2">
      <c r="A1244" s="163">
        <v>44363</v>
      </c>
      <c r="B1244" s="162">
        <v>181.71</v>
      </c>
    </row>
    <row r="1245" spans="1:2" ht="18" x14ac:dyDescent="0.2">
      <c r="A1245" s="163">
        <v>44362</v>
      </c>
      <c r="B1245" s="162">
        <v>181.91</v>
      </c>
    </row>
    <row r="1246" spans="1:2" ht="18" x14ac:dyDescent="0.2">
      <c r="A1246" s="163">
        <v>44361</v>
      </c>
      <c r="B1246" s="162">
        <v>184.94</v>
      </c>
    </row>
    <row r="1247" spans="1:2" ht="18" x14ac:dyDescent="0.2">
      <c r="A1247" s="163">
        <v>44358</v>
      </c>
      <c r="B1247" s="162">
        <v>183.31</v>
      </c>
    </row>
    <row r="1248" spans="1:2" ht="18" x14ac:dyDescent="0.2">
      <c r="A1248" s="163">
        <v>44357</v>
      </c>
      <c r="B1248" s="162">
        <v>182.91</v>
      </c>
    </row>
    <row r="1249" spans="1:2" ht="18" x14ac:dyDescent="0.2">
      <c r="A1249" s="163">
        <v>44356</v>
      </c>
      <c r="B1249" s="162">
        <v>181.55</v>
      </c>
    </row>
    <row r="1250" spans="1:2" ht="18" x14ac:dyDescent="0.2">
      <c r="A1250" s="163">
        <v>44355</v>
      </c>
      <c r="B1250" s="162">
        <v>184.27</v>
      </c>
    </row>
    <row r="1251" spans="1:2" ht="18" x14ac:dyDescent="0.2">
      <c r="A1251" s="163">
        <v>44354</v>
      </c>
      <c r="B1251" s="162">
        <v>183.86</v>
      </c>
    </row>
    <row r="1252" spans="1:2" ht="18" x14ac:dyDescent="0.2">
      <c r="A1252" s="163">
        <v>44351</v>
      </c>
      <c r="B1252" s="162">
        <v>184.76</v>
      </c>
    </row>
    <row r="1253" spans="1:2" ht="18" x14ac:dyDescent="0.2">
      <c r="A1253" s="163">
        <v>44350</v>
      </c>
      <c r="B1253" s="162">
        <v>180.97</v>
      </c>
    </row>
    <row r="1254" spans="1:2" ht="18" x14ac:dyDescent="0.2">
      <c r="A1254" s="163">
        <v>44349</v>
      </c>
      <c r="B1254" s="162">
        <v>185.31</v>
      </c>
    </row>
    <row r="1255" spans="1:2" ht="18" x14ac:dyDescent="0.2">
      <c r="A1255" s="163">
        <v>44348</v>
      </c>
      <c r="B1255" s="162">
        <v>182.98</v>
      </c>
    </row>
    <row r="1256" spans="1:2" ht="18" x14ac:dyDescent="0.2">
      <c r="A1256" s="163">
        <v>44344</v>
      </c>
      <c r="B1256" s="162">
        <v>182.72</v>
      </c>
    </row>
    <row r="1257" spans="1:2" ht="18" x14ac:dyDescent="0.2">
      <c r="A1257" s="163">
        <v>44343</v>
      </c>
      <c r="B1257" s="162">
        <v>185.14</v>
      </c>
    </row>
    <row r="1258" spans="1:2" ht="18" x14ac:dyDescent="0.2">
      <c r="A1258" s="163">
        <v>44342</v>
      </c>
      <c r="B1258" s="162">
        <v>179.47</v>
      </c>
    </row>
    <row r="1259" spans="1:2" ht="18" x14ac:dyDescent="0.2">
      <c r="A1259" s="163">
        <v>44341</v>
      </c>
      <c r="B1259" s="162">
        <v>180.62</v>
      </c>
    </row>
    <row r="1260" spans="1:2" ht="18" x14ac:dyDescent="0.2">
      <c r="A1260" s="163">
        <v>44340</v>
      </c>
      <c r="B1260" s="162">
        <v>178.63</v>
      </c>
    </row>
    <row r="1261" spans="1:2" ht="18" x14ac:dyDescent="0.2">
      <c r="A1261" s="163">
        <v>44337</v>
      </c>
      <c r="B1261" s="162">
        <v>176.56</v>
      </c>
    </row>
    <row r="1262" spans="1:2" ht="18" x14ac:dyDescent="0.2">
      <c r="A1262" s="163">
        <v>44336</v>
      </c>
      <c r="B1262" s="162">
        <v>177.72</v>
      </c>
    </row>
    <row r="1263" spans="1:2" ht="18" x14ac:dyDescent="0.2">
      <c r="A1263" s="163">
        <v>44335</v>
      </c>
      <c r="B1263" s="162">
        <v>174.15</v>
      </c>
    </row>
    <row r="1264" spans="1:2" ht="18" x14ac:dyDescent="0.2">
      <c r="A1264" s="163">
        <v>44334</v>
      </c>
      <c r="B1264" s="162">
        <v>170.07</v>
      </c>
    </row>
    <row r="1265" spans="1:2" ht="18" x14ac:dyDescent="0.2">
      <c r="A1265" s="163">
        <v>44333</v>
      </c>
      <c r="B1265" s="162">
        <v>171.08</v>
      </c>
    </row>
    <row r="1266" spans="1:2" ht="18" x14ac:dyDescent="0.2">
      <c r="A1266" s="163">
        <v>44330</v>
      </c>
      <c r="B1266" s="162">
        <v>171.01</v>
      </c>
    </row>
    <row r="1267" spans="1:2" ht="18" x14ac:dyDescent="0.2">
      <c r="A1267" s="163">
        <v>44329</v>
      </c>
      <c r="B1267" s="162">
        <v>166.85</v>
      </c>
    </row>
    <row r="1268" spans="1:2" ht="18" x14ac:dyDescent="0.2">
      <c r="A1268" s="163">
        <v>44328</v>
      </c>
      <c r="B1268" s="162">
        <v>165.35</v>
      </c>
    </row>
    <row r="1269" spans="1:2" ht="18" x14ac:dyDescent="0.2">
      <c r="A1269" s="163">
        <v>44327</v>
      </c>
      <c r="B1269" s="162">
        <v>172.01</v>
      </c>
    </row>
    <row r="1270" spans="1:2" ht="18" x14ac:dyDescent="0.2">
      <c r="A1270" s="163">
        <v>44326</v>
      </c>
      <c r="B1270" s="162">
        <v>171.47</v>
      </c>
    </row>
    <row r="1271" spans="1:2" ht="18" x14ac:dyDescent="0.2">
      <c r="A1271" s="163">
        <v>44323</v>
      </c>
      <c r="B1271" s="162">
        <v>184.18</v>
      </c>
    </row>
    <row r="1272" spans="1:2" ht="18" x14ac:dyDescent="0.2">
      <c r="A1272" s="163">
        <v>44322</v>
      </c>
      <c r="B1272" s="162">
        <v>184.69</v>
      </c>
    </row>
    <row r="1273" spans="1:2" ht="18" x14ac:dyDescent="0.2">
      <c r="A1273" s="163">
        <v>44321</v>
      </c>
      <c r="B1273" s="162">
        <v>182.56</v>
      </c>
    </row>
    <row r="1274" spans="1:2" ht="18" x14ac:dyDescent="0.2">
      <c r="A1274" s="163">
        <v>44320</v>
      </c>
      <c r="B1274" s="162">
        <v>182.41</v>
      </c>
    </row>
    <row r="1275" spans="1:2" ht="18" x14ac:dyDescent="0.2">
      <c r="A1275" s="163">
        <v>44319</v>
      </c>
      <c r="B1275" s="162">
        <v>184.54</v>
      </c>
    </row>
    <row r="1276" spans="1:2" ht="18" x14ac:dyDescent="0.2">
      <c r="A1276" s="163">
        <v>44316</v>
      </c>
      <c r="B1276" s="162">
        <v>188.17</v>
      </c>
    </row>
    <row r="1277" spans="1:2" ht="18" x14ac:dyDescent="0.2">
      <c r="A1277" s="163">
        <v>44315</v>
      </c>
      <c r="B1277" s="162">
        <v>199.54</v>
      </c>
    </row>
    <row r="1278" spans="1:2" ht="18" x14ac:dyDescent="0.2">
      <c r="A1278" s="163">
        <v>44314</v>
      </c>
      <c r="B1278" s="162">
        <v>197.05</v>
      </c>
    </row>
    <row r="1279" spans="1:2" ht="18" x14ac:dyDescent="0.2">
      <c r="A1279" s="163">
        <v>44313</v>
      </c>
      <c r="B1279" s="162">
        <v>198.38</v>
      </c>
    </row>
    <row r="1280" spans="1:2" ht="18" x14ac:dyDescent="0.2">
      <c r="A1280" s="163">
        <v>44312</v>
      </c>
      <c r="B1280" s="162">
        <v>198.97</v>
      </c>
    </row>
    <row r="1281" spans="1:2" ht="18" x14ac:dyDescent="0.2">
      <c r="A1281" s="163">
        <v>44309</v>
      </c>
      <c r="B1281" s="162">
        <v>193.92</v>
      </c>
    </row>
    <row r="1282" spans="1:2" ht="18" x14ac:dyDescent="0.2">
      <c r="A1282" s="163">
        <v>44308</v>
      </c>
      <c r="B1282" s="162">
        <v>187.05</v>
      </c>
    </row>
    <row r="1283" spans="1:2" ht="18" x14ac:dyDescent="0.2">
      <c r="A1283" s="163">
        <v>44307</v>
      </c>
      <c r="B1283" s="162">
        <v>189.21</v>
      </c>
    </row>
    <row r="1284" spans="1:2" ht="18" x14ac:dyDescent="0.2">
      <c r="A1284" s="163">
        <v>44306</v>
      </c>
      <c r="B1284" s="162">
        <v>183.95</v>
      </c>
    </row>
    <row r="1285" spans="1:2" ht="18" x14ac:dyDescent="0.2">
      <c r="A1285" s="163">
        <v>44305</v>
      </c>
      <c r="B1285" s="162">
        <v>188.44</v>
      </c>
    </row>
    <row r="1286" spans="1:2" ht="18" x14ac:dyDescent="0.2">
      <c r="A1286" s="163">
        <v>44302</v>
      </c>
      <c r="B1286" s="162">
        <v>192.27</v>
      </c>
    </row>
    <row r="1287" spans="1:2" ht="18" x14ac:dyDescent="0.2">
      <c r="A1287" s="163">
        <v>44301</v>
      </c>
      <c r="B1287" s="162">
        <v>192.84</v>
      </c>
    </row>
    <row r="1288" spans="1:2" ht="18" x14ac:dyDescent="0.2">
      <c r="A1288" s="163">
        <v>44300</v>
      </c>
      <c r="B1288" s="162">
        <v>189.85</v>
      </c>
    </row>
    <row r="1289" spans="1:2" ht="18" x14ac:dyDescent="0.2">
      <c r="A1289" s="163">
        <v>44299</v>
      </c>
      <c r="B1289" s="162">
        <v>192.42</v>
      </c>
    </row>
    <row r="1290" spans="1:2" ht="18" x14ac:dyDescent="0.2">
      <c r="A1290" s="163">
        <v>44298</v>
      </c>
      <c r="B1290" s="162">
        <v>192.56</v>
      </c>
    </row>
    <row r="1291" spans="1:2" ht="18" x14ac:dyDescent="0.2">
      <c r="A1291" s="163">
        <v>44295</v>
      </c>
      <c r="B1291" s="162">
        <v>191.86</v>
      </c>
    </row>
    <row r="1292" spans="1:2" ht="18" x14ac:dyDescent="0.2">
      <c r="A1292" s="163">
        <v>44294</v>
      </c>
      <c r="B1292" s="162">
        <v>193.52</v>
      </c>
    </row>
    <row r="1293" spans="1:2" ht="18" x14ac:dyDescent="0.2">
      <c r="A1293" s="163">
        <v>44293</v>
      </c>
      <c r="B1293" s="162">
        <v>193.69</v>
      </c>
    </row>
    <row r="1294" spans="1:2" ht="18" x14ac:dyDescent="0.2">
      <c r="A1294" s="163">
        <v>44292</v>
      </c>
      <c r="B1294" s="162">
        <v>194.98</v>
      </c>
    </row>
    <row r="1295" spans="1:2" ht="18" x14ac:dyDescent="0.2">
      <c r="A1295" s="163">
        <v>44291</v>
      </c>
      <c r="B1295" s="162">
        <v>198.32</v>
      </c>
    </row>
    <row r="1296" spans="1:2" ht="18" x14ac:dyDescent="0.2">
      <c r="A1296" s="163">
        <v>44287</v>
      </c>
      <c r="B1296" s="162">
        <v>192.9</v>
      </c>
    </row>
    <row r="1297" spans="1:2" ht="18" x14ac:dyDescent="0.2">
      <c r="A1297" s="163">
        <v>44286</v>
      </c>
      <c r="B1297" s="162">
        <v>182.7</v>
      </c>
    </row>
    <row r="1298" spans="1:2" ht="18" x14ac:dyDescent="0.2">
      <c r="A1298" s="163">
        <v>44285</v>
      </c>
      <c r="B1298" s="162">
        <v>177.63</v>
      </c>
    </row>
    <row r="1299" spans="1:2" ht="18" x14ac:dyDescent="0.2">
      <c r="A1299" s="163">
        <v>44284</v>
      </c>
      <c r="B1299" s="162">
        <v>178.89</v>
      </c>
    </row>
    <row r="1300" spans="1:2" ht="18" x14ac:dyDescent="0.2">
      <c r="A1300" s="163">
        <v>44281</v>
      </c>
      <c r="B1300" s="162">
        <v>182.5</v>
      </c>
    </row>
    <row r="1301" spans="1:2" ht="18" x14ac:dyDescent="0.2">
      <c r="A1301" s="163">
        <v>44280</v>
      </c>
      <c r="B1301" s="162">
        <v>172.26</v>
      </c>
    </row>
    <row r="1302" spans="1:2" ht="18" x14ac:dyDescent="0.2">
      <c r="A1302" s="163">
        <v>44279</v>
      </c>
      <c r="B1302" s="162">
        <v>171.79</v>
      </c>
    </row>
    <row r="1303" spans="1:2" ht="18" x14ac:dyDescent="0.2">
      <c r="A1303" s="163">
        <v>44278</v>
      </c>
      <c r="B1303" s="162">
        <v>176.37</v>
      </c>
    </row>
    <row r="1304" spans="1:2" ht="18" x14ac:dyDescent="0.2">
      <c r="A1304" s="163">
        <v>44277</v>
      </c>
      <c r="B1304" s="162">
        <v>183.28</v>
      </c>
    </row>
    <row r="1305" spans="1:2" ht="18" x14ac:dyDescent="0.2">
      <c r="A1305" s="163">
        <v>44274</v>
      </c>
      <c r="B1305" s="162">
        <v>179.85</v>
      </c>
    </row>
    <row r="1306" spans="1:2" ht="18" x14ac:dyDescent="0.2">
      <c r="A1306" s="163">
        <v>44273</v>
      </c>
      <c r="B1306" s="162">
        <v>176.08</v>
      </c>
    </row>
    <row r="1307" spans="1:2" ht="18" x14ac:dyDescent="0.2">
      <c r="A1307" s="163">
        <v>44272</v>
      </c>
      <c r="B1307" s="162">
        <v>184.54</v>
      </c>
    </row>
    <row r="1308" spans="1:2" ht="18" x14ac:dyDescent="0.2">
      <c r="A1308" s="163">
        <v>44271</v>
      </c>
      <c r="B1308" s="162">
        <v>180.54</v>
      </c>
    </row>
    <row r="1309" spans="1:2" ht="18" x14ac:dyDescent="0.2">
      <c r="A1309" s="163">
        <v>44270</v>
      </c>
      <c r="B1309" s="162">
        <v>178.29</v>
      </c>
    </row>
    <row r="1310" spans="1:2" ht="18" x14ac:dyDescent="0.2">
      <c r="A1310" s="163">
        <v>44267</v>
      </c>
      <c r="B1310" s="162">
        <v>172.59</v>
      </c>
    </row>
    <row r="1311" spans="1:2" ht="18" x14ac:dyDescent="0.2">
      <c r="A1311" s="163">
        <v>44266</v>
      </c>
      <c r="B1311" s="162">
        <v>174.95</v>
      </c>
    </row>
    <row r="1312" spans="1:2" ht="18" x14ac:dyDescent="0.2">
      <c r="A1312" s="163">
        <v>44265</v>
      </c>
      <c r="B1312" s="162">
        <v>165.37</v>
      </c>
    </row>
    <row r="1313" spans="1:2" ht="18" x14ac:dyDescent="0.2">
      <c r="A1313" s="163">
        <v>44264</v>
      </c>
      <c r="B1313" s="162">
        <v>170.9</v>
      </c>
    </row>
    <row r="1314" spans="1:2" ht="18" x14ac:dyDescent="0.2">
      <c r="A1314" s="163">
        <v>44263</v>
      </c>
      <c r="B1314" s="162">
        <v>162.9</v>
      </c>
    </row>
    <row r="1315" spans="1:2" ht="18" x14ac:dyDescent="0.2">
      <c r="A1315" s="163">
        <v>44260</v>
      </c>
      <c r="B1315" s="162">
        <v>171.42</v>
      </c>
    </row>
    <row r="1316" spans="1:2" ht="18" x14ac:dyDescent="0.2">
      <c r="A1316" s="163">
        <v>44259</v>
      </c>
      <c r="B1316" s="162">
        <v>165.34</v>
      </c>
    </row>
    <row r="1317" spans="1:2" ht="18" x14ac:dyDescent="0.2">
      <c r="A1317" s="163">
        <v>44258</v>
      </c>
      <c r="B1317" s="162">
        <v>171.66</v>
      </c>
    </row>
    <row r="1318" spans="1:2" ht="18" x14ac:dyDescent="0.2">
      <c r="A1318" s="163">
        <v>44257</v>
      </c>
      <c r="B1318" s="162">
        <v>177.45</v>
      </c>
    </row>
    <row r="1319" spans="1:2" ht="18" x14ac:dyDescent="0.2">
      <c r="A1319" s="163">
        <v>44256</v>
      </c>
      <c r="B1319" s="162">
        <v>182.31</v>
      </c>
    </row>
    <row r="1320" spans="1:2" ht="18" x14ac:dyDescent="0.2">
      <c r="A1320" s="163">
        <v>44253</v>
      </c>
      <c r="B1320" s="162">
        <v>174.73</v>
      </c>
    </row>
    <row r="1321" spans="1:2" ht="18" x14ac:dyDescent="0.2">
      <c r="A1321" s="163">
        <v>44252</v>
      </c>
      <c r="B1321" s="162">
        <v>168.95</v>
      </c>
    </row>
    <row r="1322" spans="1:2" ht="18" x14ac:dyDescent="0.2">
      <c r="A1322" s="163">
        <v>44251</v>
      </c>
      <c r="B1322" s="162">
        <v>179.15</v>
      </c>
    </row>
    <row r="1323" spans="1:2" ht="18" x14ac:dyDescent="0.2">
      <c r="A1323" s="163">
        <v>44250</v>
      </c>
      <c r="B1323" s="162">
        <v>172.22</v>
      </c>
    </row>
    <row r="1324" spans="1:2" ht="18" x14ac:dyDescent="0.2">
      <c r="A1324" s="163">
        <v>44249</v>
      </c>
      <c r="B1324" s="162">
        <v>172.28</v>
      </c>
    </row>
    <row r="1325" spans="1:2" ht="18" x14ac:dyDescent="0.2">
      <c r="A1325" s="163">
        <v>44246</v>
      </c>
      <c r="B1325" s="162">
        <v>179.39</v>
      </c>
    </row>
    <row r="1326" spans="1:2" ht="18" x14ac:dyDescent="0.2">
      <c r="A1326" s="163">
        <v>44245</v>
      </c>
      <c r="B1326" s="162">
        <v>171.13</v>
      </c>
    </row>
    <row r="1327" spans="1:2" ht="18" x14ac:dyDescent="0.2">
      <c r="A1327" s="163">
        <v>44244</v>
      </c>
      <c r="B1327" s="162">
        <v>174.61</v>
      </c>
    </row>
    <row r="1328" spans="1:2" ht="18" x14ac:dyDescent="0.2">
      <c r="A1328" s="163">
        <v>44243</v>
      </c>
      <c r="B1328" s="162">
        <v>177.03</v>
      </c>
    </row>
    <row r="1329" spans="1:2" ht="18" x14ac:dyDescent="0.2">
      <c r="A1329" s="163">
        <v>44239</v>
      </c>
      <c r="B1329" s="162">
        <v>176</v>
      </c>
    </row>
    <row r="1330" spans="1:2" ht="18" x14ac:dyDescent="0.2">
      <c r="A1330" s="163">
        <v>44238</v>
      </c>
      <c r="B1330" s="162">
        <v>174.65</v>
      </c>
    </row>
    <row r="1331" spans="1:2" ht="18" x14ac:dyDescent="0.2">
      <c r="A1331" s="163">
        <v>44237</v>
      </c>
      <c r="B1331" s="162">
        <v>168.17</v>
      </c>
    </row>
    <row r="1332" spans="1:2" ht="18" x14ac:dyDescent="0.2">
      <c r="A1332" s="163">
        <v>44236</v>
      </c>
      <c r="B1332" s="162">
        <v>168.85</v>
      </c>
    </row>
    <row r="1333" spans="1:2" ht="18" x14ac:dyDescent="0.2">
      <c r="A1333" s="163">
        <v>44235</v>
      </c>
      <c r="B1333" s="162">
        <v>170.76</v>
      </c>
    </row>
    <row r="1334" spans="1:2" ht="18" x14ac:dyDescent="0.2">
      <c r="A1334" s="163">
        <v>44232</v>
      </c>
      <c r="B1334" s="162">
        <v>167.14</v>
      </c>
    </row>
    <row r="1335" spans="1:2" ht="18" x14ac:dyDescent="0.2">
      <c r="A1335" s="163">
        <v>44231</v>
      </c>
      <c r="B1335" s="162">
        <v>167.69</v>
      </c>
    </row>
    <row r="1336" spans="1:2" ht="18" x14ac:dyDescent="0.2">
      <c r="A1336" s="163">
        <v>44230</v>
      </c>
      <c r="B1336" s="162">
        <v>175.95</v>
      </c>
    </row>
    <row r="1337" spans="1:2" ht="18" x14ac:dyDescent="0.2">
      <c r="A1337" s="163">
        <v>44229</v>
      </c>
      <c r="B1337" s="162">
        <v>179.33</v>
      </c>
    </row>
    <row r="1338" spans="1:2" ht="18" x14ac:dyDescent="0.2">
      <c r="A1338" s="163">
        <v>44228</v>
      </c>
      <c r="B1338" s="162">
        <v>183.3</v>
      </c>
    </row>
    <row r="1339" spans="1:2" ht="18" x14ac:dyDescent="0.2">
      <c r="A1339" s="163">
        <v>44225</v>
      </c>
      <c r="B1339" s="162">
        <v>170.88</v>
      </c>
    </row>
    <row r="1340" spans="1:2" ht="18" x14ac:dyDescent="0.2">
      <c r="A1340" s="163">
        <v>44224</v>
      </c>
      <c r="B1340" s="162">
        <v>169.8</v>
      </c>
    </row>
    <row r="1341" spans="1:2" ht="18" x14ac:dyDescent="0.2">
      <c r="A1341" s="163">
        <v>44223</v>
      </c>
      <c r="B1341" s="162">
        <v>165.64</v>
      </c>
    </row>
    <row r="1342" spans="1:2" ht="18" x14ac:dyDescent="0.2">
      <c r="A1342" s="163">
        <v>44222</v>
      </c>
      <c r="B1342" s="162">
        <v>174.94</v>
      </c>
    </row>
    <row r="1343" spans="1:2" ht="18" x14ac:dyDescent="0.2">
      <c r="A1343" s="163">
        <v>44221</v>
      </c>
      <c r="B1343" s="162">
        <v>180.92</v>
      </c>
    </row>
    <row r="1344" spans="1:2" ht="18" x14ac:dyDescent="0.2">
      <c r="A1344" s="163">
        <v>44218</v>
      </c>
      <c r="B1344" s="162">
        <v>180.66</v>
      </c>
    </row>
    <row r="1345" spans="1:2" ht="18" x14ac:dyDescent="0.2">
      <c r="A1345" s="163">
        <v>44217</v>
      </c>
      <c r="B1345" s="162">
        <v>184.12</v>
      </c>
    </row>
    <row r="1346" spans="1:2" ht="18" x14ac:dyDescent="0.2">
      <c r="A1346" s="163">
        <v>44216</v>
      </c>
      <c r="B1346" s="162">
        <v>186.03</v>
      </c>
    </row>
    <row r="1347" spans="1:2" ht="18" x14ac:dyDescent="0.2">
      <c r="A1347" s="163">
        <v>44215</v>
      </c>
      <c r="B1347" s="162">
        <v>185.67</v>
      </c>
    </row>
    <row r="1348" spans="1:2" ht="18" x14ac:dyDescent="0.2">
      <c r="A1348" s="163">
        <v>44211</v>
      </c>
      <c r="B1348" s="162">
        <v>177.29</v>
      </c>
    </row>
    <row r="1349" spans="1:2" ht="18" x14ac:dyDescent="0.2">
      <c r="A1349" s="163">
        <v>44210</v>
      </c>
      <c r="B1349" s="162">
        <v>183.94</v>
      </c>
    </row>
    <row r="1350" spans="1:2" ht="18" x14ac:dyDescent="0.2">
      <c r="A1350" s="163">
        <v>44209</v>
      </c>
      <c r="B1350" s="162">
        <v>180.07</v>
      </c>
    </row>
    <row r="1351" spans="1:2" ht="18" x14ac:dyDescent="0.2">
      <c r="A1351" s="163">
        <v>44208</v>
      </c>
      <c r="B1351" s="162">
        <v>182.32</v>
      </c>
    </row>
    <row r="1352" spans="1:2" ht="18" x14ac:dyDescent="0.2">
      <c r="A1352" s="163">
        <v>44207</v>
      </c>
      <c r="B1352" s="162">
        <v>182.76</v>
      </c>
    </row>
    <row r="1353" spans="1:2" ht="18" x14ac:dyDescent="0.2">
      <c r="A1353" s="163">
        <v>44204</v>
      </c>
      <c r="B1353" s="162">
        <v>179.4</v>
      </c>
    </row>
    <row r="1354" spans="1:2" ht="18" x14ac:dyDescent="0.2">
      <c r="A1354" s="163">
        <v>44203</v>
      </c>
      <c r="B1354" s="162">
        <v>178.57</v>
      </c>
    </row>
    <row r="1355" spans="1:2" ht="18" x14ac:dyDescent="0.2">
      <c r="A1355" s="163">
        <v>44202</v>
      </c>
      <c r="B1355" s="162">
        <v>172</v>
      </c>
    </row>
    <row r="1356" spans="1:2" ht="18" x14ac:dyDescent="0.2">
      <c r="A1356" s="163">
        <v>44201</v>
      </c>
      <c r="B1356" s="162">
        <v>169.25</v>
      </c>
    </row>
    <row r="1357" spans="1:2" ht="18" x14ac:dyDescent="0.2">
      <c r="A1357" s="163">
        <v>44200</v>
      </c>
      <c r="B1357" s="162">
        <v>164.59</v>
      </c>
    </row>
    <row r="1358" spans="1:2" ht="18" x14ac:dyDescent="0.2">
      <c r="A1358" s="163">
        <v>44196</v>
      </c>
      <c r="B1358" s="162">
        <v>166.27</v>
      </c>
    </row>
    <row r="1359" spans="1:2" ht="18" x14ac:dyDescent="0.2">
      <c r="A1359" s="163">
        <v>44195</v>
      </c>
      <c r="B1359" s="162">
        <v>167.37</v>
      </c>
    </row>
    <row r="1360" spans="1:2" ht="18" x14ac:dyDescent="0.2">
      <c r="A1360" s="163">
        <v>44194</v>
      </c>
      <c r="B1360" s="162">
        <v>163.77000000000001</v>
      </c>
    </row>
    <row r="1361" spans="1:2" ht="18" x14ac:dyDescent="0.2">
      <c r="A1361" s="163">
        <v>44193</v>
      </c>
      <c r="B1361" s="162">
        <v>166.44</v>
      </c>
    </row>
    <row r="1362" spans="1:2" ht="18" x14ac:dyDescent="0.2">
      <c r="A1362" s="163">
        <v>44189</v>
      </c>
      <c r="B1362" s="162">
        <v>167.11</v>
      </c>
    </row>
    <row r="1363" spans="1:2" ht="18" x14ac:dyDescent="0.2">
      <c r="A1363" s="163">
        <v>44188</v>
      </c>
      <c r="B1363" s="162">
        <v>165.1</v>
      </c>
    </row>
    <row r="1364" spans="1:2" ht="18" x14ac:dyDescent="0.2">
      <c r="A1364" s="163">
        <v>44187</v>
      </c>
      <c r="B1364" s="162">
        <v>163.26</v>
      </c>
    </row>
    <row r="1365" spans="1:2" ht="18" x14ac:dyDescent="0.2">
      <c r="A1365" s="163">
        <v>44186</v>
      </c>
      <c r="B1365" s="162">
        <v>161.11000000000001</v>
      </c>
    </row>
    <row r="1366" spans="1:2" ht="18" x14ac:dyDescent="0.2">
      <c r="A1366" s="163">
        <v>44183</v>
      </c>
      <c r="B1366" s="162">
        <v>162.66</v>
      </c>
    </row>
    <row r="1367" spans="1:2" ht="18" x14ac:dyDescent="0.2">
      <c r="A1367" s="163">
        <v>44182</v>
      </c>
      <c r="B1367" s="162">
        <v>159.6</v>
      </c>
    </row>
    <row r="1368" spans="1:2" ht="18" x14ac:dyDescent="0.2">
      <c r="A1368" s="163">
        <v>44181</v>
      </c>
      <c r="B1368" s="162">
        <v>159</v>
      </c>
    </row>
    <row r="1369" spans="1:2" ht="18" x14ac:dyDescent="0.2">
      <c r="A1369" s="163">
        <v>44180</v>
      </c>
      <c r="B1369" s="162">
        <v>158.47999999999999</v>
      </c>
    </row>
    <row r="1370" spans="1:2" ht="18" x14ac:dyDescent="0.2">
      <c r="A1370" s="163">
        <v>44179</v>
      </c>
      <c r="B1370" s="162">
        <v>154.51</v>
      </c>
    </row>
    <row r="1371" spans="1:2" ht="18" x14ac:dyDescent="0.2">
      <c r="A1371" s="163">
        <v>44176</v>
      </c>
      <c r="B1371" s="162">
        <v>152.63999999999999</v>
      </c>
    </row>
    <row r="1372" spans="1:2" ht="18" x14ac:dyDescent="0.2">
      <c r="A1372" s="163">
        <v>44175</v>
      </c>
      <c r="B1372" s="162">
        <v>158.33000000000001</v>
      </c>
    </row>
    <row r="1373" spans="1:2" ht="18" x14ac:dyDescent="0.2">
      <c r="A1373" s="163">
        <v>44174</v>
      </c>
      <c r="B1373" s="162">
        <v>160.38</v>
      </c>
    </row>
    <row r="1374" spans="1:2" ht="18" x14ac:dyDescent="0.2">
      <c r="A1374" s="163">
        <v>44173</v>
      </c>
      <c r="B1374" s="162">
        <v>169.96</v>
      </c>
    </row>
    <row r="1375" spans="1:2" ht="18" x14ac:dyDescent="0.2">
      <c r="A1375" s="163">
        <v>44172</v>
      </c>
      <c r="B1375" s="162">
        <v>166.94</v>
      </c>
    </row>
    <row r="1376" spans="1:2" ht="18" x14ac:dyDescent="0.2">
      <c r="A1376" s="163">
        <v>44169</v>
      </c>
      <c r="B1376" s="162">
        <v>165.35</v>
      </c>
    </row>
    <row r="1377" spans="1:2" ht="18" x14ac:dyDescent="0.2">
      <c r="A1377" s="163">
        <v>44168</v>
      </c>
      <c r="B1377" s="162">
        <v>159.13</v>
      </c>
    </row>
    <row r="1378" spans="1:2" ht="18" x14ac:dyDescent="0.2">
      <c r="A1378" s="163">
        <v>44167</v>
      </c>
      <c r="B1378" s="162">
        <v>159.55000000000001</v>
      </c>
    </row>
    <row r="1379" spans="1:2" ht="18" x14ac:dyDescent="0.2">
      <c r="A1379" s="163">
        <v>44166</v>
      </c>
      <c r="B1379" s="162">
        <v>159.78</v>
      </c>
    </row>
    <row r="1380" spans="1:2" ht="18" x14ac:dyDescent="0.2">
      <c r="A1380" s="163">
        <v>44165</v>
      </c>
      <c r="B1380" s="162">
        <v>156.68</v>
      </c>
    </row>
    <row r="1381" spans="1:2" ht="18" x14ac:dyDescent="0.2">
      <c r="A1381" s="163">
        <v>44162</v>
      </c>
      <c r="B1381" s="162">
        <v>150.11000000000001</v>
      </c>
    </row>
    <row r="1382" spans="1:2" ht="18" x14ac:dyDescent="0.2">
      <c r="A1382" s="163">
        <v>44160</v>
      </c>
      <c r="B1382" s="162">
        <v>148.24</v>
      </c>
    </row>
    <row r="1383" spans="1:2" ht="18" x14ac:dyDescent="0.2">
      <c r="A1383" s="163">
        <v>44159</v>
      </c>
      <c r="B1383" s="162">
        <v>151.75</v>
      </c>
    </row>
    <row r="1384" spans="1:2" ht="18" x14ac:dyDescent="0.2">
      <c r="A1384" s="163">
        <v>44158</v>
      </c>
      <c r="B1384" s="162">
        <v>149.19999999999999</v>
      </c>
    </row>
    <row r="1385" spans="1:2" ht="18" x14ac:dyDescent="0.2">
      <c r="A1385" s="163">
        <v>44155</v>
      </c>
      <c r="B1385" s="162">
        <v>147.38999999999999</v>
      </c>
    </row>
    <row r="1386" spans="1:2" ht="18" x14ac:dyDescent="0.2">
      <c r="A1386" s="163">
        <v>44154</v>
      </c>
      <c r="B1386" s="162">
        <v>146.86000000000001</v>
      </c>
    </row>
    <row r="1387" spans="1:2" ht="18" x14ac:dyDescent="0.2">
      <c r="A1387" s="163">
        <v>44153</v>
      </c>
      <c r="B1387" s="162">
        <v>144.37</v>
      </c>
    </row>
    <row r="1388" spans="1:2" ht="18" x14ac:dyDescent="0.2">
      <c r="A1388" s="163">
        <v>44152</v>
      </c>
      <c r="B1388" s="162">
        <v>148.44</v>
      </c>
    </row>
    <row r="1389" spans="1:2" ht="18" x14ac:dyDescent="0.2">
      <c r="A1389" s="163">
        <v>44151</v>
      </c>
      <c r="B1389" s="162">
        <v>150.38</v>
      </c>
    </row>
    <row r="1390" spans="1:2" ht="18" x14ac:dyDescent="0.2">
      <c r="A1390" s="163">
        <v>44148</v>
      </c>
      <c r="B1390" s="162">
        <v>147.63</v>
      </c>
    </row>
    <row r="1391" spans="1:2" ht="18" x14ac:dyDescent="0.2">
      <c r="A1391" s="163">
        <v>44147</v>
      </c>
      <c r="B1391" s="162">
        <v>146.66999999999999</v>
      </c>
    </row>
    <row r="1392" spans="1:2" ht="18" x14ac:dyDescent="0.2">
      <c r="A1392" s="163">
        <v>44146</v>
      </c>
      <c r="B1392" s="162">
        <v>148.25</v>
      </c>
    </row>
    <row r="1393" spans="1:2" ht="18" x14ac:dyDescent="0.2">
      <c r="A1393" s="163">
        <v>44145</v>
      </c>
      <c r="B1393" s="162">
        <v>140.93</v>
      </c>
    </row>
    <row r="1394" spans="1:2" ht="18" x14ac:dyDescent="0.2">
      <c r="A1394" s="163">
        <v>44144</v>
      </c>
      <c r="B1394" s="162">
        <v>149.47999999999999</v>
      </c>
    </row>
    <row r="1395" spans="1:2" ht="18" x14ac:dyDescent="0.2">
      <c r="A1395" s="163">
        <v>44141</v>
      </c>
      <c r="B1395" s="162">
        <v>147.27000000000001</v>
      </c>
    </row>
    <row r="1396" spans="1:2" ht="18" x14ac:dyDescent="0.2">
      <c r="A1396" s="163">
        <v>44140</v>
      </c>
      <c r="B1396" s="162">
        <v>146.69</v>
      </c>
    </row>
    <row r="1397" spans="1:2" ht="18" x14ac:dyDescent="0.2">
      <c r="A1397" s="163">
        <v>44139</v>
      </c>
      <c r="B1397" s="162">
        <v>133.74</v>
      </c>
    </row>
    <row r="1398" spans="1:2" ht="18" x14ac:dyDescent="0.2">
      <c r="A1398" s="163">
        <v>44138</v>
      </c>
      <c r="B1398" s="162">
        <v>128.46</v>
      </c>
    </row>
    <row r="1399" spans="1:2" ht="18" x14ac:dyDescent="0.2">
      <c r="A1399" s="163">
        <v>44137</v>
      </c>
      <c r="B1399" s="162">
        <v>127.94</v>
      </c>
    </row>
    <row r="1400" spans="1:2" ht="18" x14ac:dyDescent="0.2">
      <c r="A1400" s="163">
        <v>44134</v>
      </c>
      <c r="B1400" s="162">
        <v>127.36</v>
      </c>
    </row>
    <row r="1401" spans="1:2" ht="18" x14ac:dyDescent="0.2">
      <c r="A1401" s="163">
        <v>44133</v>
      </c>
      <c r="B1401" s="162">
        <v>129.71</v>
      </c>
    </row>
    <row r="1402" spans="1:2" ht="18" x14ac:dyDescent="0.2">
      <c r="A1402" s="163">
        <v>44132</v>
      </c>
      <c r="B1402" s="162">
        <v>124.96</v>
      </c>
    </row>
    <row r="1403" spans="1:2" ht="18" x14ac:dyDescent="0.2">
      <c r="A1403" s="163">
        <v>44131</v>
      </c>
      <c r="B1403" s="162">
        <v>131.28</v>
      </c>
    </row>
    <row r="1404" spans="1:2" ht="18" x14ac:dyDescent="0.2">
      <c r="A1404" s="163">
        <v>44130</v>
      </c>
      <c r="B1404" s="162">
        <v>134.44999999999999</v>
      </c>
    </row>
    <row r="1405" spans="1:2" ht="18" x14ac:dyDescent="0.2">
      <c r="A1405" s="163">
        <v>44127</v>
      </c>
      <c r="B1405" s="162">
        <v>135.69999999999999</v>
      </c>
    </row>
    <row r="1406" spans="1:2" ht="18" x14ac:dyDescent="0.2">
      <c r="A1406" s="163">
        <v>44126</v>
      </c>
      <c r="B1406" s="162">
        <v>135</v>
      </c>
    </row>
    <row r="1407" spans="1:2" ht="18" x14ac:dyDescent="0.2">
      <c r="A1407" s="163">
        <v>44125</v>
      </c>
      <c r="B1407" s="162">
        <v>135.26</v>
      </c>
    </row>
    <row r="1408" spans="1:2" ht="18" x14ac:dyDescent="0.2">
      <c r="A1408" s="163">
        <v>44124</v>
      </c>
      <c r="B1408" s="162">
        <v>135.65</v>
      </c>
    </row>
    <row r="1409" spans="1:2" ht="18" x14ac:dyDescent="0.2">
      <c r="A1409" s="163">
        <v>44123</v>
      </c>
      <c r="B1409" s="162">
        <v>134.54</v>
      </c>
    </row>
    <row r="1410" spans="1:2" ht="18" x14ac:dyDescent="0.2">
      <c r="A1410" s="163">
        <v>44120</v>
      </c>
      <c r="B1410" s="162">
        <v>134.76</v>
      </c>
    </row>
    <row r="1411" spans="1:2" ht="18" x14ac:dyDescent="0.2">
      <c r="A1411" s="163">
        <v>44119</v>
      </c>
      <c r="B1411" s="162">
        <v>135.96</v>
      </c>
    </row>
    <row r="1412" spans="1:2" ht="18" x14ac:dyDescent="0.2">
      <c r="A1412" s="163">
        <v>44118</v>
      </c>
      <c r="B1412" s="162">
        <v>135.15</v>
      </c>
    </row>
    <row r="1413" spans="1:2" ht="18" x14ac:dyDescent="0.2">
      <c r="A1413" s="163">
        <v>44117</v>
      </c>
      <c r="B1413" s="162">
        <v>135.16999999999999</v>
      </c>
    </row>
    <row r="1414" spans="1:2" ht="18" x14ac:dyDescent="0.2">
      <c r="A1414" s="163">
        <v>44116</v>
      </c>
      <c r="B1414" s="162">
        <v>137.76</v>
      </c>
    </row>
    <row r="1415" spans="1:2" ht="18" x14ac:dyDescent="0.2">
      <c r="A1415" s="163">
        <v>44113</v>
      </c>
      <c r="B1415" s="162">
        <v>137.87</v>
      </c>
    </row>
    <row r="1416" spans="1:2" ht="18" x14ac:dyDescent="0.2">
      <c r="A1416" s="163">
        <v>44112</v>
      </c>
      <c r="B1416" s="162">
        <v>135.41</v>
      </c>
    </row>
    <row r="1417" spans="1:2" ht="18" x14ac:dyDescent="0.2">
      <c r="A1417" s="163">
        <v>44111</v>
      </c>
      <c r="B1417" s="162">
        <v>134.63999999999999</v>
      </c>
    </row>
    <row r="1418" spans="1:2" ht="18" x14ac:dyDescent="0.2">
      <c r="A1418" s="163">
        <v>44110</v>
      </c>
      <c r="B1418" s="162">
        <v>131.08000000000001</v>
      </c>
    </row>
    <row r="1419" spans="1:2" ht="18" x14ac:dyDescent="0.2">
      <c r="A1419" s="163">
        <v>44109</v>
      </c>
      <c r="B1419" s="162">
        <v>135.30000000000001</v>
      </c>
    </row>
    <row r="1420" spans="1:2" ht="18" x14ac:dyDescent="0.2">
      <c r="A1420" s="163">
        <v>44106</v>
      </c>
      <c r="B1420" s="162">
        <v>130.57</v>
      </c>
    </row>
    <row r="1421" spans="1:2" ht="18" x14ac:dyDescent="0.2">
      <c r="A1421" s="163">
        <v>44105</v>
      </c>
      <c r="B1421" s="162">
        <v>135.09</v>
      </c>
    </row>
    <row r="1422" spans="1:2" ht="18" x14ac:dyDescent="0.2">
      <c r="A1422" s="163">
        <v>44104</v>
      </c>
      <c r="B1422" s="162">
        <v>129.01</v>
      </c>
    </row>
    <row r="1423" spans="1:2" ht="18" x14ac:dyDescent="0.2">
      <c r="A1423" s="163">
        <v>44103</v>
      </c>
      <c r="B1423" s="162">
        <v>130.77000000000001</v>
      </c>
    </row>
    <row r="1424" spans="1:2" ht="18" x14ac:dyDescent="0.2">
      <c r="A1424" s="163">
        <v>44102</v>
      </c>
      <c r="B1424" s="162">
        <v>128.43</v>
      </c>
    </row>
    <row r="1425" spans="1:2" ht="18" x14ac:dyDescent="0.2">
      <c r="A1425" s="163">
        <v>44099</v>
      </c>
      <c r="B1425" s="162">
        <v>125.63</v>
      </c>
    </row>
    <row r="1426" spans="1:2" ht="18" x14ac:dyDescent="0.2">
      <c r="A1426" s="163">
        <v>44098</v>
      </c>
      <c r="B1426" s="162">
        <v>124.99</v>
      </c>
    </row>
    <row r="1427" spans="1:2" ht="18" x14ac:dyDescent="0.2">
      <c r="A1427" s="163">
        <v>44097</v>
      </c>
      <c r="B1427" s="162">
        <v>125.77</v>
      </c>
    </row>
    <row r="1428" spans="1:2" ht="18" x14ac:dyDescent="0.2">
      <c r="A1428" s="163">
        <v>44096</v>
      </c>
      <c r="B1428" s="162">
        <v>131.21</v>
      </c>
    </row>
    <row r="1429" spans="1:2" ht="18" x14ac:dyDescent="0.2">
      <c r="A1429" s="163">
        <v>44095</v>
      </c>
      <c r="B1429" s="162">
        <v>127.55</v>
      </c>
    </row>
    <row r="1430" spans="1:2" ht="18" x14ac:dyDescent="0.2">
      <c r="A1430" s="163">
        <v>44092</v>
      </c>
      <c r="B1430" s="162">
        <v>128.02000000000001</v>
      </c>
    </row>
    <row r="1431" spans="1:2" ht="18" x14ac:dyDescent="0.2">
      <c r="A1431" s="163">
        <v>44091</v>
      </c>
      <c r="B1431" s="162">
        <v>130.30000000000001</v>
      </c>
    </row>
    <row r="1432" spans="1:2" ht="18" x14ac:dyDescent="0.2">
      <c r="A1432" s="163">
        <v>44090</v>
      </c>
      <c r="B1432" s="162">
        <v>128.83000000000001</v>
      </c>
    </row>
    <row r="1433" spans="1:2" ht="18" x14ac:dyDescent="0.2">
      <c r="A1433" s="163">
        <v>44089</v>
      </c>
      <c r="B1433" s="162">
        <v>129.99</v>
      </c>
    </row>
    <row r="1434" spans="1:2" ht="18" x14ac:dyDescent="0.2">
      <c r="A1434" s="163">
        <v>44088</v>
      </c>
      <c r="B1434" s="162">
        <v>122.84</v>
      </c>
    </row>
    <row r="1435" spans="1:2" ht="18" x14ac:dyDescent="0.2">
      <c r="A1435" s="163">
        <v>44085</v>
      </c>
      <c r="B1435" s="162">
        <v>122.96</v>
      </c>
    </row>
    <row r="1436" spans="1:2" ht="18" x14ac:dyDescent="0.2">
      <c r="A1436" s="163">
        <v>44084</v>
      </c>
      <c r="B1436" s="162">
        <v>121.46</v>
      </c>
    </row>
    <row r="1437" spans="1:2" ht="18" x14ac:dyDescent="0.2">
      <c r="A1437" s="163">
        <v>44083</v>
      </c>
      <c r="B1437" s="162">
        <v>122.71</v>
      </c>
    </row>
    <row r="1438" spans="1:2" ht="18" x14ac:dyDescent="0.2">
      <c r="A1438" s="163">
        <v>44082</v>
      </c>
      <c r="B1438" s="162">
        <v>114.11</v>
      </c>
    </row>
    <row r="1439" spans="1:2" ht="18" x14ac:dyDescent="0.2">
      <c r="A1439" s="163">
        <v>44078</v>
      </c>
      <c r="B1439" s="162">
        <v>118.89</v>
      </c>
    </row>
    <row r="1440" spans="1:2" ht="18" x14ac:dyDescent="0.2">
      <c r="A1440" s="163">
        <v>44077</v>
      </c>
      <c r="B1440" s="162">
        <v>121.44</v>
      </c>
    </row>
    <row r="1441" spans="1:2" ht="18" x14ac:dyDescent="0.2">
      <c r="A1441" s="163">
        <v>44076</v>
      </c>
      <c r="B1441" s="162">
        <v>134.66999999999999</v>
      </c>
    </row>
    <row r="1442" spans="1:2" ht="18" x14ac:dyDescent="0.2">
      <c r="A1442" s="163">
        <v>44075</v>
      </c>
      <c r="B1442" s="162">
        <v>131.47999999999999</v>
      </c>
    </row>
    <row r="1443" spans="1:2" ht="18" x14ac:dyDescent="0.2">
      <c r="A1443" s="163">
        <v>44074</v>
      </c>
      <c r="B1443" s="162">
        <v>128.27000000000001</v>
      </c>
    </row>
    <row r="1444" spans="1:2" ht="18" x14ac:dyDescent="0.2">
      <c r="A1444" s="163">
        <v>44071</v>
      </c>
      <c r="B1444" s="162">
        <v>129.30000000000001</v>
      </c>
    </row>
    <row r="1445" spans="1:2" ht="18" x14ac:dyDescent="0.2">
      <c r="A1445" s="163">
        <v>44070</v>
      </c>
      <c r="B1445" s="162">
        <v>127.14</v>
      </c>
    </row>
    <row r="1446" spans="1:2" ht="18" x14ac:dyDescent="0.2">
      <c r="A1446" s="163">
        <v>44069</v>
      </c>
      <c r="B1446" s="162">
        <v>131.51</v>
      </c>
    </row>
    <row r="1447" spans="1:2" ht="18" x14ac:dyDescent="0.2">
      <c r="A1447" s="163">
        <v>44068</v>
      </c>
      <c r="B1447" s="162">
        <v>131.97</v>
      </c>
    </row>
    <row r="1448" spans="1:2" ht="18" x14ac:dyDescent="0.2">
      <c r="A1448" s="163">
        <v>44067</v>
      </c>
      <c r="B1448" s="162">
        <v>131.94</v>
      </c>
    </row>
    <row r="1449" spans="1:2" ht="18" x14ac:dyDescent="0.2">
      <c r="A1449" s="163">
        <v>44064</v>
      </c>
      <c r="B1449" s="162">
        <v>130.66999999999999</v>
      </c>
    </row>
    <row r="1450" spans="1:2" ht="18" x14ac:dyDescent="0.2">
      <c r="A1450" s="163">
        <v>44063</v>
      </c>
      <c r="B1450" s="162">
        <v>130.72</v>
      </c>
    </row>
    <row r="1451" spans="1:2" ht="18" x14ac:dyDescent="0.2">
      <c r="A1451" s="163">
        <v>44062</v>
      </c>
      <c r="B1451" s="162">
        <v>132.46</v>
      </c>
    </row>
    <row r="1452" spans="1:2" ht="18" x14ac:dyDescent="0.2">
      <c r="A1452" s="163">
        <v>44061</v>
      </c>
      <c r="B1452" s="162">
        <v>132.61000000000001</v>
      </c>
    </row>
    <row r="1453" spans="1:2" ht="18" x14ac:dyDescent="0.2">
      <c r="A1453" s="163">
        <v>44060</v>
      </c>
      <c r="B1453" s="162">
        <v>133.81</v>
      </c>
    </row>
    <row r="1454" spans="1:2" ht="18" x14ac:dyDescent="0.2">
      <c r="A1454" s="163">
        <v>44057</v>
      </c>
      <c r="B1454" s="162">
        <v>131.68</v>
      </c>
    </row>
    <row r="1455" spans="1:2" ht="18" x14ac:dyDescent="0.2">
      <c r="A1455" s="163">
        <v>44056</v>
      </c>
      <c r="B1455" s="162">
        <v>132</v>
      </c>
    </row>
    <row r="1456" spans="1:2" ht="18" x14ac:dyDescent="0.2">
      <c r="A1456" s="163">
        <v>44055</v>
      </c>
      <c r="B1456" s="162">
        <v>131.43</v>
      </c>
    </row>
    <row r="1457" spans="1:2" ht="18" x14ac:dyDescent="0.2">
      <c r="A1457" s="163">
        <v>44054</v>
      </c>
      <c r="B1457" s="162">
        <v>127.62</v>
      </c>
    </row>
    <row r="1458" spans="1:2" ht="18" x14ac:dyDescent="0.2">
      <c r="A1458" s="163">
        <v>44053</v>
      </c>
      <c r="B1458" s="162">
        <v>129.47</v>
      </c>
    </row>
    <row r="1459" spans="1:2" ht="18" x14ac:dyDescent="0.2">
      <c r="A1459" s="163">
        <v>44050</v>
      </c>
      <c r="B1459" s="162">
        <v>130.97</v>
      </c>
    </row>
    <row r="1460" spans="1:2" ht="18" x14ac:dyDescent="0.2">
      <c r="A1460" s="163">
        <v>44049</v>
      </c>
      <c r="B1460" s="162">
        <v>135.22999999999999</v>
      </c>
    </row>
    <row r="1461" spans="1:2" ht="18" x14ac:dyDescent="0.2">
      <c r="A1461" s="163">
        <v>44048</v>
      </c>
      <c r="B1461" s="162">
        <v>133.62</v>
      </c>
    </row>
    <row r="1462" spans="1:2" ht="18" x14ac:dyDescent="0.2">
      <c r="A1462" s="163">
        <v>44047</v>
      </c>
      <c r="B1462" s="162">
        <v>131.25</v>
      </c>
    </row>
    <row r="1463" spans="1:2" ht="18" x14ac:dyDescent="0.2">
      <c r="A1463" s="163">
        <v>44046</v>
      </c>
      <c r="B1463" s="162">
        <v>133.32</v>
      </c>
    </row>
    <row r="1464" spans="1:2" ht="18" x14ac:dyDescent="0.2">
      <c r="A1464" s="163">
        <v>44043</v>
      </c>
      <c r="B1464" s="162">
        <v>128.15</v>
      </c>
    </row>
    <row r="1465" spans="1:2" ht="18" x14ac:dyDescent="0.2">
      <c r="A1465" s="163">
        <v>44042</v>
      </c>
      <c r="B1465" s="162">
        <v>128.66999999999999</v>
      </c>
    </row>
    <row r="1466" spans="1:2" ht="18" x14ac:dyDescent="0.2">
      <c r="A1466" s="163">
        <v>44041</v>
      </c>
      <c r="B1466" s="162">
        <v>115.28</v>
      </c>
    </row>
    <row r="1467" spans="1:2" ht="18" x14ac:dyDescent="0.2">
      <c r="A1467" s="163">
        <v>44040</v>
      </c>
      <c r="B1467" s="162">
        <v>113.39</v>
      </c>
    </row>
    <row r="1468" spans="1:2" ht="18" x14ac:dyDescent="0.2">
      <c r="A1468" s="163">
        <v>44039</v>
      </c>
      <c r="B1468" s="162">
        <v>115.15</v>
      </c>
    </row>
    <row r="1469" spans="1:2" ht="18" x14ac:dyDescent="0.2">
      <c r="A1469" s="163">
        <v>44036</v>
      </c>
      <c r="B1469" s="162">
        <v>111.92</v>
      </c>
    </row>
    <row r="1470" spans="1:2" ht="18" x14ac:dyDescent="0.2">
      <c r="A1470" s="163">
        <v>44035</v>
      </c>
      <c r="B1470" s="162">
        <v>118.15</v>
      </c>
    </row>
    <row r="1471" spans="1:2" ht="18" x14ac:dyDescent="0.2">
      <c r="A1471" s="163">
        <v>44034</v>
      </c>
      <c r="B1471" s="162">
        <v>118.43</v>
      </c>
    </row>
    <row r="1472" spans="1:2" ht="18" x14ac:dyDescent="0.2">
      <c r="A1472" s="163">
        <v>44033</v>
      </c>
      <c r="B1472" s="162">
        <v>116.74</v>
      </c>
    </row>
    <row r="1473" spans="1:2" ht="18" x14ac:dyDescent="0.2">
      <c r="A1473" s="163">
        <v>44032</v>
      </c>
      <c r="B1473" s="162">
        <v>116.39</v>
      </c>
    </row>
    <row r="1474" spans="1:2" ht="18" x14ac:dyDescent="0.2">
      <c r="A1474" s="163">
        <v>44029</v>
      </c>
      <c r="B1474" s="162">
        <v>113.98</v>
      </c>
    </row>
    <row r="1475" spans="1:2" ht="18" x14ac:dyDescent="0.2">
      <c r="A1475" s="163">
        <v>44028</v>
      </c>
      <c r="B1475" s="162">
        <v>111.68</v>
      </c>
    </row>
    <row r="1476" spans="1:2" ht="18" x14ac:dyDescent="0.2">
      <c r="A1476" s="163">
        <v>44027</v>
      </c>
      <c r="B1476" s="162">
        <v>112.84</v>
      </c>
    </row>
    <row r="1477" spans="1:2" ht="18" x14ac:dyDescent="0.2">
      <c r="A1477" s="163">
        <v>44026</v>
      </c>
      <c r="B1477" s="162">
        <v>112.62</v>
      </c>
    </row>
    <row r="1478" spans="1:2" ht="18" x14ac:dyDescent="0.2">
      <c r="A1478" s="163">
        <v>44025</v>
      </c>
      <c r="B1478" s="162">
        <v>110.89</v>
      </c>
    </row>
    <row r="1479" spans="1:2" ht="18" x14ac:dyDescent="0.2">
      <c r="A1479" s="163">
        <v>44022</v>
      </c>
      <c r="B1479" s="162">
        <v>112.01</v>
      </c>
    </row>
    <row r="1480" spans="1:2" ht="18" x14ac:dyDescent="0.2">
      <c r="A1480" s="163">
        <v>44021</v>
      </c>
      <c r="B1480" s="162">
        <v>113.11</v>
      </c>
    </row>
    <row r="1481" spans="1:2" ht="18" x14ac:dyDescent="0.2">
      <c r="A1481" s="163">
        <v>44020</v>
      </c>
      <c r="B1481" s="162">
        <v>113.03</v>
      </c>
    </row>
    <row r="1482" spans="1:2" ht="18" x14ac:dyDescent="0.2">
      <c r="A1482" s="163">
        <v>44019</v>
      </c>
      <c r="B1482" s="162">
        <v>113.02</v>
      </c>
    </row>
    <row r="1483" spans="1:2" ht="18" x14ac:dyDescent="0.2">
      <c r="A1483" s="163">
        <v>44018</v>
      </c>
      <c r="B1483" s="162">
        <v>113.63</v>
      </c>
    </row>
    <row r="1484" spans="1:2" ht="18" x14ac:dyDescent="0.2">
      <c r="A1484" s="163">
        <v>44014</v>
      </c>
      <c r="B1484" s="162">
        <v>110.3</v>
      </c>
    </row>
    <row r="1485" spans="1:2" ht="18" x14ac:dyDescent="0.2">
      <c r="A1485" s="163">
        <v>44013</v>
      </c>
      <c r="B1485" s="162">
        <v>108.26</v>
      </c>
    </row>
    <row r="1486" spans="1:2" ht="18" x14ac:dyDescent="0.2">
      <c r="A1486" s="163">
        <v>44012</v>
      </c>
      <c r="B1486" s="162">
        <v>110.53</v>
      </c>
    </row>
    <row r="1487" spans="1:2" ht="18" x14ac:dyDescent="0.2">
      <c r="A1487" s="163">
        <v>44011</v>
      </c>
      <c r="B1487" s="162">
        <v>107.43</v>
      </c>
    </row>
    <row r="1488" spans="1:2" ht="18" x14ac:dyDescent="0.2">
      <c r="A1488" s="163">
        <v>44008</v>
      </c>
      <c r="B1488" s="162">
        <v>107.37</v>
      </c>
    </row>
    <row r="1489" spans="1:2" ht="18" x14ac:dyDescent="0.2">
      <c r="A1489" s="163">
        <v>44007</v>
      </c>
      <c r="B1489" s="162">
        <v>108.97</v>
      </c>
    </row>
    <row r="1490" spans="1:2" ht="18" x14ac:dyDescent="0.2">
      <c r="A1490" s="163">
        <v>44006</v>
      </c>
      <c r="B1490" s="162">
        <v>108.52</v>
      </c>
    </row>
    <row r="1491" spans="1:2" ht="18" x14ac:dyDescent="0.2">
      <c r="A1491" s="163">
        <v>44005</v>
      </c>
      <c r="B1491" s="162">
        <v>111.92</v>
      </c>
    </row>
    <row r="1492" spans="1:2" ht="18" x14ac:dyDescent="0.2">
      <c r="A1492" s="163">
        <v>44004</v>
      </c>
      <c r="B1492" s="162">
        <v>112.25</v>
      </c>
    </row>
    <row r="1493" spans="1:2" ht="18" x14ac:dyDescent="0.2">
      <c r="A1493" s="163">
        <v>44001</v>
      </c>
      <c r="B1493" s="162">
        <v>111.8</v>
      </c>
    </row>
    <row r="1494" spans="1:2" ht="18" x14ac:dyDescent="0.2">
      <c r="A1494" s="163">
        <v>44000</v>
      </c>
      <c r="B1494" s="162">
        <v>111.25</v>
      </c>
    </row>
    <row r="1495" spans="1:2" ht="18" x14ac:dyDescent="0.2">
      <c r="A1495" s="163">
        <v>43999</v>
      </c>
      <c r="B1495" s="162">
        <v>112.64</v>
      </c>
    </row>
    <row r="1496" spans="1:2" ht="18" x14ac:dyDescent="0.2">
      <c r="A1496" s="163">
        <v>43998</v>
      </c>
      <c r="B1496" s="162">
        <v>112.58</v>
      </c>
    </row>
    <row r="1497" spans="1:2" ht="18" x14ac:dyDescent="0.2">
      <c r="A1497" s="163">
        <v>43997</v>
      </c>
      <c r="B1497" s="162">
        <v>109.72</v>
      </c>
    </row>
    <row r="1498" spans="1:2" ht="18" x14ac:dyDescent="0.2">
      <c r="A1498" s="163">
        <v>43994</v>
      </c>
      <c r="B1498" s="162">
        <v>108.9</v>
      </c>
    </row>
    <row r="1499" spans="1:2" ht="18" x14ac:dyDescent="0.2">
      <c r="A1499" s="163">
        <v>43993</v>
      </c>
      <c r="B1499" s="162">
        <v>107.39</v>
      </c>
    </row>
    <row r="1500" spans="1:2" ht="18" x14ac:dyDescent="0.2">
      <c r="A1500" s="163">
        <v>43992</v>
      </c>
      <c r="B1500" s="162">
        <v>114.87</v>
      </c>
    </row>
    <row r="1501" spans="1:2" ht="18" x14ac:dyDescent="0.2">
      <c r="A1501" s="163">
        <v>43991</v>
      </c>
      <c r="B1501" s="162">
        <v>115.53</v>
      </c>
    </row>
    <row r="1502" spans="1:2" ht="18" x14ac:dyDescent="0.2">
      <c r="A1502" s="163">
        <v>43990</v>
      </c>
      <c r="B1502" s="162">
        <v>117.56</v>
      </c>
    </row>
    <row r="1503" spans="1:2" ht="18" x14ac:dyDescent="0.2">
      <c r="A1503" s="163">
        <v>43987</v>
      </c>
      <c r="B1503" s="162">
        <v>115.67</v>
      </c>
    </row>
    <row r="1504" spans="1:2" ht="18" x14ac:dyDescent="0.2">
      <c r="A1504" s="163">
        <v>43986</v>
      </c>
      <c r="B1504" s="162">
        <v>113.4</v>
      </c>
    </row>
    <row r="1505" spans="1:2" ht="18" x14ac:dyDescent="0.2">
      <c r="A1505" s="163">
        <v>43985</v>
      </c>
      <c r="B1505" s="162">
        <v>112.99</v>
      </c>
    </row>
    <row r="1506" spans="1:2" ht="18" x14ac:dyDescent="0.2">
      <c r="A1506" s="163">
        <v>43984</v>
      </c>
      <c r="B1506" s="162">
        <v>109.68</v>
      </c>
    </row>
    <row r="1507" spans="1:2" ht="18" x14ac:dyDescent="0.2">
      <c r="A1507" s="163">
        <v>43983</v>
      </c>
      <c r="B1507" s="162">
        <v>104.58</v>
      </c>
    </row>
    <row r="1508" spans="1:2" ht="18" x14ac:dyDescent="0.2">
      <c r="A1508" s="163">
        <v>43980</v>
      </c>
      <c r="B1508" s="162">
        <v>104.74</v>
      </c>
    </row>
    <row r="1509" spans="1:2" ht="18" x14ac:dyDescent="0.2">
      <c r="A1509" s="163">
        <v>43979</v>
      </c>
      <c r="B1509" s="162">
        <v>100.77</v>
      </c>
    </row>
    <row r="1510" spans="1:2" ht="18" x14ac:dyDescent="0.2">
      <c r="A1510" s="163">
        <v>43978</v>
      </c>
      <c r="B1510" s="162">
        <v>105.68</v>
      </c>
    </row>
    <row r="1511" spans="1:2" ht="18" x14ac:dyDescent="0.2">
      <c r="A1511" s="163">
        <v>43977</v>
      </c>
      <c r="B1511" s="162">
        <v>103.21</v>
      </c>
    </row>
    <row r="1512" spans="1:2" ht="18" x14ac:dyDescent="0.2">
      <c r="A1512" s="163">
        <v>43973</v>
      </c>
      <c r="B1512" s="162">
        <v>101.54</v>
      </c>
    </row>
    <row r="1513" spans="1:2" ht="18" x14ac:dyDescent="0.2">
      <c r="A1513" s="163">
        <v>43972</v>
      </c>
      <c r="B1513" s="162">
        <v>98.97</v>
      </c>
    </row>
    <row r="1514" spans="1:2" ht="18" x14ac:dyDescent="0.2">
      <c r="A1514" s="163">
        <v>43971</v>
      </c>
      <c r="B1514" s="162">
        <v>103.33</v>
      </c>
    </row>
    <row r="1515" spans="1:2" ht="18" x14ac:dyDescent="0.2">
      <c r="A1515" s="163">
        <v>43970</v>
      </c>
      <c r="B1515" s="162">
        <v>98.33</v>
      </c>
    </row>
    <row r="1516" spans="1:2" ht="18" x14ac:dyDescent="0.2">
      <c r="A1516" s="163">
        <v>43969</v>
      </c>
      <c r="B1516" s="162">
        <v>99.04</v>
      </c>
    </row>
    <row r="1517" spans="1:2" ht="18" x14ac:dyDescent="0.2">
      <c r="A1517" s="163">
        <v>43966</v>
      </c>
      <c r="B1517" s="162">
        <v>94.71</v>
      </c>
    </row>
    <row r="1518" spans="1:2" ht="18" x14ac:dyDescent="0.2">
      <c r="A1518" s="163">
        <v>43965</v>
      </c>
      <c r="B1518" s="162">
        <v>98.81</v>
      </c>
    </row>
    <row r="1519" spans="1:2" ht="18" x14ac:dyDescent="0.2">
      <c r="A1519" s="163">
        <v>43964</v>
      </c>
      <c r="B1519" s="162">
        <v>97.33</v>
      </c>
    </row>
    <row r="1520" spans="1:2" ht="18" x14ac:dyDescent="0.2">
      <c r="A1520" s="163">
        <v>43963</v>
      </c>
      <c r="B1520" s="162">
        <v>100.67</v>
      </c>
    </row>
    <row r="1521" spans="1:2" ht="18" x14ac:dyDescent="0.2">
      <c r="A1521" s="163">
        <v>43962</v>
      </c>
      <c r="B1521" s="162">
        <v>101.9</v>
      </c>
    </row>
    <row r="1522" spans="1:2" ht="18" x14ac:dyDescent="0.2">
      <c r="A1522" s="163">
        <v>43959</v>
      </c>
      <c r="B1522" s="162">
        <v>103</v>
      </c>
    </row>
    <row r="1523" spans="1:2" ht="18" x14ac:dyDescent="0.2">
      <c r="A1523" s="163">
        <v>43958</v>
      </c>
      <c r="B1523" s="162">
        <v>100.82</v>
      </c>
    </row>
    <row r="1524" spans="1:2" ht="18" x14ac:dyDescent="0.2">
      <c r="A1524" s="163">
        <v>43957</v>
      </c>
      <c r="B1524" s="162">
        <v>98.3</v>
      </c>
    </row>
    <row r="1525" spans="1:2" ht="18" x14ac:dyDescent="0.2">
      <c r="A1525" s="163">
        <v>43956</v>
      </c>
      <c r="B1525" s="162">
        <v>97.71</v>
      </c>
    </row>
    <row r="1526" spans="1:2" ht="18" x14ac:dyDescent="0.2">
      <c r="A1526" s="163">
        <v>43955</v>
      </c>
      <c r="B1526" s="162">
        <v>94.14</v>
      </c>
    </row>
    <row r="1527" spans="1:2" ht="18" x14ac:dyDescent="0.2">
      <c r="A1527" s="163">
        <v>43952</v>
      </c>
      <c r="B1527" s="162">
        <v>93.15</v>
      </c>
    </row>
    <row r="1528" spans="1:2" ht="18" x14ac:dyDescent="0.2">
      <c r="A1528" s="163">
        <v>43951</v>
      </c>
      <c r="B1528" s="162">
        <v>98.03</v>
      </c>
    </row>
    <row r="1529" spans="1:2" ht="18" x14ac:dyDescent="0.2">
      <c r="A1529" s="163">
        <v>43950</v>
      </c>
      <c r="B1529" s="162">
        <v>99.39</v>
      </c>
    </row>
    <row r="1530" spans="1:2" ht="18" x14ac:dyDescent="0.2">
      <c r="A1530" s="163">
        <v>43949</v>
      </c>
      <c r="B1530" s="162">
        <v>93.14</v>
      </c>
    </row>
    <row r="1531" spans="1:2" ht="18" x14ac:dyDescent="0.2">
      <c r="A1531" s="163">
        <v>43948</v>
      </c>
      <c r="B1531" s="162">
        <v>91.28</v>
      </c>
    </row>
    <row r="1532" spans="1:2" ht="18" x14ac:dyDescent="0.2">
      <c r="A1532" s="163">
        <v>43945</v>
      </c>
      <c r="B1532" s="162">
        <v>89.89</v>
      </c>
    </row>
    <row r="1533" spans="1:2" ht="18" x14ac:dyDescent="0.2">
      <c r="A1533" s="163">
        <v>43944</v>
      </c>
      <c r="B1533" s="162">
        <v>85.95</v>
      </c>
    </row>
    <row r="1534" spans="1:2" ht="18" x14ac:dyDescent="0.2">
      <c r="A1534" s="163">
        <v>43943</v>
      </c>
      <c r="B1534" s="162">
        <v>86.58</v>
      </c>
    </row>
    <row r="1535" spans="1:2" ht="18" x14ac:dyDescent="0.2">
      <c r="A1535" s="163">
        <v>43942</v>
      </c>
      <c r="B1535" s="162">
        <v>81.180000000000007</v>
      </c>
    </row>
    <row r="1536" spans="1:2" ht="18" x14ac:dyDescent="0.2">
      <c r="A1536" s="163">
        <v>43941</v>
      </c>
      <c r="B1536" s="162">
        <v>84.77</v>
      </c>
    </row>
    <row r="1537" spans="1:2" ht="18" x14ac:dyDescent="0.2">
      <c r="A1537" s="163">
        <v>43938</v>
      </c>
      <c r="B1537" s="162">
        <v>86.27</v>
      </c>
    </row>
    <row r="1538" spans="1:2" ht="18" x14ac:dyDescent="0.2">
      <c r="A1538" s="163">
        <v>43937</v>
      </c>
      <c r="B1538" s="162">
        <v>86.82</v>
      </c>
    </row>
    <row r="1539" spans="1:2" ht="18" x14ac:dyDescent="0.2">
      <c r="A1539" s="163">
        <v>43936</v>
      </c>
      <c r="B1539" s="162">
        <v>84.56</v>
      </c>
    </row>
    <row r="1540" spans="1:2" ht="18" x14ac:dyDescent="0.2">
      <c r="A1540" s="163">
        <v>43935</v>
      </c>
      <c r="B1540" s="162">
        <v>89.83</v>
      </c>
    </row>
    <row r="1541" spans="1:2" ht="18" x14ac:dyDescent="0.2">
      <c r="A1541" s="163">
        <v>43934</v>
      </c>
      <c r="B1541" s="162">
        <v>84.73</v>
      </c>
    </row>
    <row r="1542" spans="1:2" ht="18" x14ac:dyDescent="0.2">
      <c r="A1542" s="163">
        <v>43930</v>
      </c>
      <c r="B1542" s="162">
        <v>83.11</v>
      </c>
    </row>
    <row r="1543" spans="1:2" ht="18" x14ac:dyDescent="0.2">
      <c r="A1543" s="163">
        <v>43929</v>
      </c>
      <c r="B1543" s="162">
        <v>87.02</v>
      </c>
    </row>
    <row r="1544" spans="1:2" ht="18" x14ac:dyDescent="0.2">
      <c r="A1544" s="163">
        <v>43928</v>
      </c>
      <c r="B1544" s="162">
        <v>81.849999999999994</v>
      </c>
    </row>
    <row r="1545" spans="1:2" ht="18" x14ac:dyDescent="0.2">
      <c r="A1545" s="163">
        <v>43927</v>
      </c>
      <c r="B1545" s="162">
        <v>82.61</v>
      </c>
    </row>
    <row r="1546" spans="1:2" ht="18" x14ac:dyDescent="0.2">
      <c r="A1546" s="163">
        <v>43924</v>
      </c>
      <c r="B1546" s="162">
        <v>73.44</v>
      </c>
    </row>
    <row r="1547" spans="1:2" ht="18" x14ac:dyDescent="0.2">
      <c r="A1547" s="163">
        <v>43923</v>
      </c>
      <c r="B1547" s="162">
        <v>76.66</v>
      </c>
    </row>
    <row r="1548" spans="1:2" ht="18" x14ac:dyDescent="0.2">
      <c r="A1548" s="163">
        <v>43922</v>
      </c>
      <c r="B1548" s="162">
        <v>74.58</v>
      </c>
    </row>
    <row r="1549" spans="1:2" ht="18" x14ac:dyDescent="0.2">
      <c r="A1549" s="163">
        <v>43921</v>
      </c>
      <c r="B1549" s="162">
        <v>80.63</v>
      </c>
    </row>
    <row r="1550" spans="1:2" ht="18" x14ac:dyDescent="0.2">
      <c r="A1550" s="163">
        <v>43920</v>
      </c>
      <c r="B1550" s="162">
        <v>81.48</v>
      </c>
    </row>
    <row r="1551" spans="1:2" ht="18" x14ac:dyDescent="0.2">
      <c r="A1551" s="163">
        <v>43917</v>
      </c>
      <c r="B1551" s="162">
        <v>80.69</v>
      </c>
    </row>
    <row r="1552" spans="1:2" ht="18" x14ac:dyDescent="0.2">
      <c r="A1552" s="163">
        <v>43916</v>
      </c>
      <c r="B1552" s="162">
        <v>83.49</v>
      </c>
    </row>
    <row r="1553" spans="1:2" ht="18" x14ac:dyDescent="0.2">
      <c r="A1553" s="163">
        <v>43915</v>
      </c>
      <c r="B1553" s="162">
        <v>77.739999999999995</v>
      </c>
    </row>
    <row r="1554" spans="1:2" ht="18" x14ac:dyDescent="0.2">
      <c r="A1554" s="163">
        <v>43914</v>
      </c>
      <c r="B1554" s="162">
        <v>78.790000000000006</v>
      </c>
    </row>
    <row r="1555" spans="1:2" ht="18" x14ac:dyDescent="0.2">
      <c r="A1555" s="163">
        <v>43913</v>
      </c>
      <c r="B1555" s="162">
        <v>69.36</v>
      </c>
    </row>
    <row r="1556" spans="1:2" ht="18" x14ac:dyDescent="0.2">
      <c r="A1556" s="163">
        <v>43910</v>
      </c>
      <c r="B1556" s="162">
        <v>70.849999999999994</v>
      </c>
    </row>
    <row r="1557" spans="1:2" ht="18" x14ac:dyDescent="0.2">
      <c r="A1557" s="163">
        <v>43909</v>
      </c>
      <c r="B1557" s="162">
        <v>73.849999999999994</v>
      </c>
    </row>
    <row r="1558" spans="1:2" ht="18" x14ac:dyDescent="0.2">
      <c r="A1558" s="163">
        <v>43908</v>
      </c>
      <c r="B1558" s="162">
        <v>73.02</v>
      </c>
    </row>
    <row r="1559" spans="1:2" ht="18" x14ac:dyDescent="0.2">
      <c r="A1559" s="163">
        <v>43907</v>
      </c>
      <c r="B1559" s="162">
        <v>79.88</v>
      </c>
    </row>
    <row r="1560" spans="1:2" ht="18" x14ac:dyDescent="0.2">
      <c r="A1560" s="163">
        <v>43906</v>
      </c>
      <c r="B1560" s="162">
        <v>70.7</v>
      </c>
    </row>
    <row r="1561" spans="1:2" ht="18" x14ac:dyDescent="0.2">
      <c r="A1561" s="163">
        <v>43903</v>
      </c>
      <c r="B1561" s="162">
        <v>83.8</v>
      </c>
    </row>
    <row r="1562" spans="1:2" ht="18" x14ac:dyDescent="0.2">
      <c r="A1562" s="163">
        <v>43902</v>
      </c>
      <c r="B1562" s="162">
        <v>76.819999999999993</v>
      </c>
    </row>
    <row r="1563" spans="1:2" ht="18" x14ac:dyDescent="0.2">
      <c r="A1563" s="163">
        <v>43901</v>
      </c>
      <c r="B1563" s="162">
        <v>89.27</v>
      </c>
    </row>
    <row r="1564" spans="1:2" ht="18" x14ac:dyDescent="0.2">
      <c r="A1564" s="163">
        <v>43900</v>
      </c>
      <c r="B1564" s="162">
        <v>96</v>
      </c>
    </row>
    <row r="1565" spans="1:2" ht="18" x14ac:dyDescent="0.2">
      <c r="A1565" s="163">
        <v>43899</v>
      </c>
      <c r="B1565" s="162">
        <v>89.95</v>
      </c>
    </row>
    <row r="1566" spans="1:2" ht="18" x14ac:dyDescent="0.2">
      <c r="A1566" s="163">
        <v>43896</v>
      </c>
      <c r="B1566" s="162">
        <v>94.36</v>
      </c>
    </row>
    <row r="1567" spans="1:2" ht="18" x14ac:dyDescent="0.2">
      <c r="A1567" s="163">
        <v>43895</v>
      </c>
      <c r="B1567" s="162">
        <v>97.3</v>
      </c>
    </row>
    <row r="1568" spans="1:2" ht="18" x14ac:dyDescent="0.2">
      <c r="A1568" s="163">
        <v>43894</v>
      </c>
      <c r="B1568" s="162">
        <v>102.38</v>
      </c>
    </row>
    <row r="1569" spans="1:2" ht="18" x14ac:dyDescent="0.2">
      <c r="A1569" s="163">
        <v>43893</v>
      </c>
      <c r="B1569" s="162">
        <v>98.3</v>
      </c>
    </row>
    <row r="1570" spans="1:2" ht="18" x14ac:dyDescent="0.2">
      <c r="A1570" s="163">
        <v>43892</v>
      </c>
      <c r="B1570" s="162">
        <v>100.44</v>
      </c>
    </row>
    <row r="1571" spans="1:2" ht="18" x14ac:dyDescent="0.2">
      <c r="A1571" s="163">
        <v>43889</v>
      </c>
      <c r="B1571" s="162">
        <v>100.58</v>
      </c>
    </row>
    <row r="1572" spans="1:2" ht="18" x14ac:dyDescent="0.2">
      <c r="A1572" s="163">
        <v>43888</v>
      </c>
      <c r="B1572" s="162">
        <v>94.8</v>
      </c>
    </row>
    <row r="1573" spans="1:2" ht="18" x14ac:dyDescent="0.2">
      <c r="A1573" s="163">
        <v>43887</v>
      </c>
      <c r="B1573" s="162">
        <v>96.13</v>
      </c>
    </row>
    <row r="1574" spans="1:2" ht="18" x14ac:dyDescent="0.2">
      <c r="A1574" s="163">
        <v>43886</v>
      </c>
      <c r="B1574" s="162">
        <v>96.6</v>
      </c>
    </row>
    <row r="1575" spans="1:2" ht="18" x14ac:dyDescent="0.2">
      <c r="A1575" s="163">
        <v>43885</v>
      </c>
      <c r="B1575" s="162">
        <v>96.34</v>
      </c>
    </row>
    <row r="1576" spans="1:2" ht="18" x14ac:dyDescent="0.2">
      <c r="A1576" s="163">
        <v>43882</v>
      </c>
      <c r="B1576" s="162">
        <v>98.19</v>
      </c>
    </row>
    <row r="1577" spans="1:2" ht="18" x14ac:dyDescent="0.2">
      <c r="A1577" s="163">
        <v>43881</v>
      </c>
      <c r="B1577" s="162">
        <v>101.56</v>
      </c>
    </row>
    <row r="1578" spans="1:2" ht="18" x14ac:dyDescent="0.2">
      <c r="A1578" s="163">
        <v>43880</v>
      </c>
      <c r="B1578" s="162">
        <v>104.24</v>
      </c>
    </row>
    <row r="1579" spans="1:2" ht="18" x14ac:dyDescent="0.2">
      <c r="A1579" s="163">
        <v>43879</v>
      </c>
      <c r="B1579" s="162">
        <v>103.23</v>
      </c>
    </row>
    <row r="1580" spans="1:2" ht="18" x14ac:dyDescent="0.2">
      <c r="A1580" s="163">
        <v>43875</v>
      </c>
      <c r="B1580" s="162">
        <v>106.02</v>
      </c>
    </row>
    <row r="1581" spans="1:2" ht="18" x14ac:dyDescent="0.2">
      <c r="A1581" s="163">
        <v>43874</v>
      </c>
      <c r="B1581" s="162">
        <v>109.17</v>
      </c>
    </row>
    <row r="1582" spans="1:2" ht="18" x14ac:dyDescent="0.2">
      <c r="A1582" s="163">
        <v>43873</v>
      </c>
      <c r="B1582" s="162">
        <v>111.73</v>
      </c>
    </row>
    <row r="1583" spans="1:2" ht="18" x14ac:dyDescent="0.2">
      <c r="A1583" s="163">
        <v>43872</v>
      </c>
      <c r="B1583" s="162">
        <v>108.59</v>
      </c>
    </row>
    <row r="1584" spans="1:2" ht="18" x14ac:dyDescent="0.2">
      <c r="A1584" s="163">
        <v>43871</v>
      </c>
      <c r="B1584" s="162">
        <v>105.35</v>
      </c>
    </row>
    <row r="1585" spans="1:2" ht="18" x14ac:dyDescent="0.2">
      <c r="A1585" s="163">
        <v>43868</v>
      </c>
      <c r="B1585" s="162">
        <v>105.15</v>
      </c>
    </row>
    <row r="1586" spans="1:2" ht="18" x14ac:dyDescent="0.2">
      <c r="A1586" s="163">
        <v>43867</v>
      </c>
      <c r="B1586" s="162">
        <v>109.77</v>
      </c>
    </row>
    <row r="1587" spans="1:2" ht="18" x14ac:dyDescent="0.2">
      <c r="A1587" s="163">
        <v>43866</v>
      </c>
      <c r="B1587" s="162">
        <v>111.32</v>
      </c>
    </row>
    <row r="1588" spans="1:2" ht="18" x14ac:dyDescent="0.2">
      <c r="A1588" s="163">
        <v>43865</v>
      </c>
      <c r="B1588" s="162">
        <v>107.89</v>
      </c>
    </row>
    <row r="1589" spans="1:2" ht="18" x14ac:dyDescent="0.2">
      <c r="A1589" s="163">
        <v>43864</v>
      </c>
      <c r="B1589" s="162">
        <v>107.56</v>
      </c>
    </row>
    <row r="1590" spans="1:2" ht="18" x14ac:dyDescent="0.2">
      <c r="A1590" s="163">
        <v>43861</v>
      </c>
      <c r="B1590" s="162">
        <v>105.86</v>
      </c>
    </row>
    <row r="1591" spans="1:2" ht="18" x14ac:dyDescent="0.2">
      <c r="A1591" s="163">
        <v>43860</v>
      </c>
      <c r="B1591" s="162">
        <v>111.79</v>
      </c>
    </row>
    <row r="1592" spans="1:2" ht="18" x14ac:dyDescent="0.2">
      <c r="A1592" s="163">
        <v>43859</v>
      </c>
      <c r="B1592" s="162">
        <v>112.57</v>
      </c>
    </row>
    <row r="1593" spans="1:2" ht="18" x14ac:dyDescent="0.2">
      <c r="A1593" s="163">
        <v>43858</v>
      </c>
      <c r="B1593" s="162">
        <v>113.56</v>
      </c>
    </row>
    <row r="1594" spans="1:2" ht="18" x14ac:dyDescent="0.2">
      <c r="A1594" s="163">
        <v>43857</v>
      </c>
      <c r="B1594" s="162">
        <v>109.98</v>
      </c>
    </row>
    <row r="1595" spans="1:2" ht="18" x14ac:dyDescent="0.2">
      <c r="A1595" s="163">
        <v>43854</v>
      </c>
      <c r="B1595" s="162">
        <v>113.39</v>
      </c>
    </row>
    <row r="1596" spans="1:2" ht="18" x14ac:dyDescent="0.2">
      <c r="A1596" s="163">
        <v>43853</v>
      </c>
      <c r="B1596" s="162">
        <v>118.68</v>
      </c>
    </row>
    <row r="1597" spans="1:2" ht="18" x14ac:dyDescent="0.2">
      <c r="A1597" s="163">
        <v>43852</v>
      </c>
      <c r="B1597" s="162">
        <v>116.33</v>
      </c>
    </row>
    <row r="1598" spans="1:2" ht="18" x14ac:dyDescent="0.2">
      <c r="A1598" s="163">
        <v>43851</v>
      </c>
      <c r="B1598" s="162">
        <v>114.87</v>
      </c>
    </row>
    <row r="1599" spans="1:2" ht="18" x14ac:dyDescent="0.2">
      <c r="A1599" s="163">
        <v>43847</v>
      </c>
      <c r="B1599" s="162">
        <v>114.74</v>
      </c>
    </row>
    <row r="1600" spans="1:2" ht="18" x14ac:dyDescent="0.2">
      <c r="A1600" s="163">
        <v>43846</v>
      </c>
      <c r="B1600" s="162">
        <v>113.8</v>
      </c>
    </row>
    <row r="1601" spans="1:2" ht="18" x14ac:dyDescent="0.2">
      <c r="A1601" s="163">
        <v>43845</v>
      </c>
      <c r="B1601" s="162">
        <v>112.5</v>
      </c>
    </row>
    <row r="1602" spans="1:2" ht="18" x14ac:dyDescent="0.2">
      <c r="A1602" s="163">
        <v>43844</v>
      </c>
      <c r="B1602" s="162">
        <v>115.91</v>
      </c>
    </row>
    <row r="1603" spans="1:2" ht="18" x14ac:dyDescent="0.2">
      <c r="A1603" s="163">
        <v>43843</v>
      </c>
      <c r="B1603" s="162">
        <v>115.74</v>
      </c>
    </row>
    <row r="1604" spans="1:2" ht="18" x14ac:dyDescent="0.2">
      <c r="A1604" s="163">
        <v>43840</v>
      </c>
      <c r="B1604" s="162">
        <v>113.42</v>
      </c>
    </row>
    <row r="1605" spans="1:2" ht="18" x14ac:dyDescent="0.2">
      <c r="A1605" s="163">
        <v>43839</v>
      </c>
      <c r="B1605" s="162">
        <v>111.96</v>
      </c>
    </row>
    <row r="1606" spans="1:2" ht="18" x14ac:dyDescent="0.2">
      <c r="A1606" s="163">
        <v>43838</v>
      </c>
      <c r="B1606" s="162">
        <v>112.92</v>
      </c>
    </row>
    <row r="1607" spans="1:2" ht="18" x14ac:dyDescent="0.2">
      <c r="A1607" s="163">
        <v>43837</v>
      </c>
      <c r="B1607" s="162">
        <v>111.23</v>
      </c>
    </row>
    <row r="1608" spans="1:2" ht="18" x14ac:dyDescent="0.2">
      <c r="A1608" s="163">
        <v>43836</v>
      </c>
      <c r="B1608" s="162">
        <v>111.64</v>
      </c>
    </row>
    <row r="1609" spans="1:2" ht="18" x14ac:dyDescent="0.2">
      <c r="A1609" s="163">
        <v>43833</v>
      </c>
      <c r="B1609" s="162">
        <v>112.34</v>
      </c>
    </row>
    <row r="1610" spans="1:2" ht="18" x14ac:dyDescent="0.2">
      <c r="A1610" s="163">
        <v>43832</v>
      </c>
      <c r="B1610" s="162">
        <v>115.96</v>
      </c>
    </row>
    <row r="1611" spans="1:2" ht="18" x14ac:dyDescent="0.2">
      <c r="A1611" s="163">
        <v>43830</v>
      </c>
      <c r="B1611" s="162">
        <v>116.23</v>
      </c>
    </row>
    <row r="1612" spans="1:2" ht="18" x14ac:dyDescent="0.2">
      <c r="A1612" s="163">
        <v>43829</v>
      </c>
      <c r="B1612" s="162">
        <v>116.21</v>
      </c>
    </row>
    <row r="1613" spans="1:2" ht="18" x14ac:dyDescent="0.2">
      <c r="A1613" s="163">
        <v>43826</v>
      </c>
      <c r="B1613" s="162">
        <v>116.84</v>
      </c>
    </row>
    <row r="1614" spans="1:2" ht="18" x14ac:dyDescent="0.2">
      <c r="A1614" s="163">
        <v>43825</v>
      </c>
      <c r="B1614" s="162">
        <v>117.6</v>
      </c>
    </row>
    <row r="1615" spans="1:2" ht="18" x14ac:dyDescent="0.2">
      <c r="A1615" s="163">
        <v>43823</v>
      </c>
      <c r="B1615" s="162">
        <v>117.96</v>
      </c>
    </row>
    <row r="1616" spans="1:2" ht="18" x14ac:dyDescent="0.2">
      <c r="A1616" s="163">
        <v>43822</v>
      </c>
      <c r="B1616" s="162">
        <v>116.94</v>
      </c>
    </row>
    <row r="1617" spans="1:2" ht="18" x14ac:dyDescent="0.2">
      <c r="A1617" s="163">
        <v>43819</v>
      </c>
      <c r="B1617" s="162">
        <v>116.67</v>
      </c>
    </row>
    <row r="1618" spans="1:2" ht="18" x14ac:dyDescent="0.2">
      <c r="A1618" s="163">
        <v>43818</v>
      </c>
      <c r="B1618" s="162">
        <v>117.28</v>
      </c>
    </row>
    <row r="1619" spans="1:2" ht="18" x14ac:dyDescent="0.2">
      <c r="A1619" s="163">
        <v>43817</v>
      </c>
      <c r="B1619" s="162">
        <v>115.29</v>
      </c>
    </row>
    <row r="1620" spans="1:2" ht="18" x14ac:dyDescent="0.2">
      <c r="A1620" s="163">
        <v>43816</v>
      </c>
      <c r="B1620" s="162">
        <v>114.35</v>
      </c>
    </row>
    <row r="1621" spans="1:2" ht="18" x14ac:dyDescent="0.2">
      <c r="A1621" s="163">
        <v>43815</v>
      </c>
      <c r="B1621" s="162">
        <v>115</v>
      </c>
    </row>
    <row r="1622" spans="1:2" ht="18" x14ac:dyDescent="0.2">
      <c r="A1622" s="163">
        <v>43812</v>
      </c>
      <c r="B1622" s="162">
        <v>113.41</v>
      </c>
    </row>
    <row r="1623" spans="1:2" ht="18" x14ac:dyDescent="0.2">
      <c r="A1623" s="163">
        <v>43811</v>
      </c>
      <c r="B1623" s="162">
        <v>115.35</v>
      </c>
    </row>
    <row r="1624" spans="1:2" ht="18" x14ac:dyDescent="0.2">
      <c r="A1624" s="163">
        <v>43810</v>
      </c>
      <c r="B1624" s="162">
        <v>113.84</v>
      </c>
    </row>
    <row r="1625" spans="1:2" ht="18" x14ac:dyDescent="0.2">
      <c r="A1625" s="163">
        <v>43809</v>
      </c>
      <c r="B1625" s="162">
        <v>109.86</v>
      </c>
    </row>
    <row r="1626" spans="1:2" ht="18" x14ac:dyDescent="0.2">
      <c r="A1626" s="163">
        <v>43808</v>
      </c>
      <c r="B1626" s="162">
        <v>108.44</v>
      </c>
    </row>
    <row r="1627" spans="1:2" ht="18" x14ac:dyDescent="0.2">
      <c r="A1627" s="163">
        <v>43805</v>
      </c>
      <c r="B1627" s="162">
        <v>106.62</v>
      </c>
    </row>
    <row r="1628" spans="1:2" ht="18" x14ac:dyDescent="0.2">
      <c r="A1628" s="163">
        <v>43804</v>
      </c>
      <c r="B1628" s="162">
        <v>105.8</v>
      </c>
    </row>
    <row r="1629" spans="1:2" ht="18" x14ac:dyDescent="0.2">
      <c r="A1629" s="163">
        <v>43803</v>
      </c>
      <c r="B1629" s="162">
        <v>104.03</v>
      </c>
    </row>
    <row r="1630" spans="1:2" ht="18" x14ac:dyDescent="0.2">
      <c r="A1630" s="163">
        <v>43802</v>
      </c>
      <c r="B1630" s="162">
        <v>102.14</v>
      </c>
    </row>
    <row r="1631" spans="1:2" ht="18" x14ac:dyDescent="0.2">
      <c r="A1631" s="163">
        <v>43801</v>
      </c>
      <c r="B1631" s="162">
        <v>102.97</v>
      </c>
    </row>
    <row r="1632" spans="1:2" ht="18" x14ac:dyDescent="0.2">
      <c r="A1632" s="163">
        <v>43798</v>
      </c>
      <c r="B1632" s="162">
        <v>104.21</v>
      </c>
    </row>
    <row r="1633" spans="1:2" ht="18" x14ac:dyDescent="0.2">
      <c r="A1633" s="163">
        <v>43796</v>
      </c>
      <c r="B1633" s="162">
        <v>105.03</v>
      </c>
    </row>
    <row r="1634" spans="1:2" ht="18" x14ac:dyDescent="0.2">
      <c r="A1634" s="163">
        <v>43795</v>
      </c>
      <c r="B1634" s="162">
        <v>104.11</v>
      </c>
    </row>
    <row r="1635" spans="1:2" ht="18" x14ac:dyDescent="0.2">
      <c r="A1635" s="163">
        <v>43794</v>
      </c>
      <c r="B1635" s="162">
        <v>104.31</v>
      </c>
    </row>
    <row r="1636" spans="1:2" ht="18" x14ac:dyDescent="0.2">
      <c r="A1636" s="163">
        <v>43791</v>
      </c>
      <c r="B1636" s="162">
        <v>101.72</v>
      </c>
    </row>
    <row r="1637" spans="1:2" ht="18" x14ac:dyDescent="0.2">
      <c r="A1637" s="163">
        <v>43790</v>
      </c>
      <c r="B1637" s="162">
        <v>100.9</v>
      </c>
    </row>
    <row r="1638" spans="1:2" ht="18" x14ac:dyDescent="0.2">
      <c r="A1638" s="163">
        <v>43789</v>
      </c>
      <c r="B1638" s="162">
        <v>101.89</v>
      </c>
    </row>
    <row r="1639" spans="1:2" ht="18" x14ac:dyDescent="0.2">
      <c r="A1639" s="163">
        <v>43788</v>
      </c>
      <c r="B1639" s="162">
        <v>102.84</v>
      </c>
    </row>
    <row r="1640" spans="1:2" ht="18" x14ac:dyDescent="0.2">
      <c r="A1640" s="163">
        <v>43787</v>
      </c>
      <c r="B1640" s="162">
        <v>103.25</v>
      </c>
    </row>
    <row r="1641" spans="1:2" ht="18" x14ac:dyDescent="0.2">
      <c r="A1641" s="163">
        <v>43784</v>
      </c>
      <c r="B1641" s="162">
        <v>103.75</v>
      </c>
    </row>
    <row r="1642" spans="1:2" ht="18" x14ac:dyDescent="0.2">
      <c r="A1642" s="163">
        <v>43783</v>
      </c>
      <c r="B1642" s="162">
        <v>103.7</v>
      </c>
    </row>
    <row r="1643" spans="1:2" ht="18" x14ac:dyDescent="0.2">
      <c r="A1643" s="163">
        <v>43782</v>
      </c>
      <c r="B1643" s="162">
        <v>103.89</v>
      </c>
    </row>
    <row r="1644" spans="1:2" ht="18" x14ac:dyDescent="0.2">
      <c r="A1644" s="163">
        <v>43781</v>
      </c>
      <c r="B1644" s="162">
        <v>102.58</v>
      </c>
    </row>
    <row r="1645" spans="1:2" ht="18" x14ac:dyDescent="0.2">
      <c r="A1645" s="163">
        <v>43780</v>
      </c>
      <c r="B1645" s="162">
        <v>102.29</v>
      </c>
    </row>
    <row r="1646" spans="1:2" ht="18" x14ac:dyDescent="0.2">
      <c r="A1646" s="163">
        <v>43777</v>
      </c>
      <c r="B1646" s="162">
        <v>104.04</v>
      </c>
    </row>
    <row r="1647" spans="1:2" ht="18" x14ac:dyDescent="0.2">
      <c r="A1647" s="163">
        <v>43776</v>
      </c>
      <c r="B1647" s="162">
        <v>101.31</v>
      </c>
    </row>
    <row r="1648" spans="1:2" ht="18" x14ac:dyDescent="0.2">
      <c r="A1648" s="163">
        <v>43775</v>
      </c>
      <c r="B1648" s="162">
        <v>101.4</v>
      </c>
    </row>
    <row r="1649" spans="1:2" ht="18" x14ac:dyDescent="0.2">
      <c r="A1649" s="163">
        <v>43774</v>
      </c>
      <c r="B1649" s="162">
        <v>101.3</v>
      </c>
    </row>
    <row r="1650" spans="1:2" ht="18" x14ac:dyDescent="0.2">
      <c r="A1650" s="163">
        <v>43773</v>
      </c>
      <c r="B1650" s="162">
        <v>101.51</v>
      </c>
    </row>
    <row r="1651" spans="1:2" ht="18" x14ac:dyDescent="0.2">
      <c r="A1651" s="163">
        <v>43770</v>
      </c>
      <c r="B1651" s="162">
        <v>97.22</v>
      </c>
    </row>
    <row r="1652" spans="1:2" ht="18" x14ac:dyDescent="0.2">
      <c r="A1652" s="163">
        <v>43769</v>
      </c>
      <c r="B1652" s="162">
        <v>80.86</v>
      </c>
    </row>
    <row r="1653" spans="1:2" ht="18" x14ac:dyDescent="0.2">
      <c r="A1653" s="163">
        <v>43768</v>
      </c>
      <c r="B1653" s="162">
        <v>79.849999999999994</v>
      </c>
    </row>
    <row r="1654" spans="1:2" ht="18" x14ac:dyDescent="0.2">
      <c r="A1654" s="163">
        <v>43767</v>
      </c>
      <c r="B1654" s="162">
        <v>79.849999999999994</v>
      </c>
    </row>
    <row r="1655" spans="1:2" ht="18" x14ac:dyDescent="0.2">
      <c r="A1655" s="163">
        <v>43766</v>
      </c>
      <c r="B1655" s="162">
        <v>80.319999999999993</v>
      </c>
    </row>
    <row r="1656" spans="1:2" ht="18" x14ac:dyDescent="0.2">
      <c r="A1656" s="163">
        <v>43763</v>
      </c>
      <c r="B1656" s="162">
        <v>79.02</v>
      </c>
    </row>
    <row r="1657" spans="1:2" ht="18" x14ac:dyDescent="0.2">
      <c r="A1657" s="163">
        <v>43762</v>
      </c>
      <c r="B1657" s="162">
        <v>79.41</v>
      </c>
    </row>
    <row r="1658" spans="1:2" ht="18" x14ac:dyDescent="0.2">
      <c r="A1658" s="163">
        <v>43761</v>
      </c>
      <c r="B1658" s="162">
        <v>78.680000000000007</v>
      </c>
    </row>
    <row r="1659" spans="1:2" ht="18" x14ac:dyDescent="0.2">
      <c r="A1659" s="163">
        <v>43760</v>
      </c>
      <c r="B1659" s="162">
        <v>78.33</v>
      </c>
    </row>
    <row r="1660" spans="1:2" ht="18" x14ac:dyDescent="0.2">
      <c r="A1660" s="163">
        <v>43759</v>
      </c>
      <c r="B1660" s="162">
        <v>78.75</v>
      </c>
    </row>
    <row r="1661" spans="1:2" ht="18" x14ac:dyDescent="0.2">
      <c r="A1661" s="163">
        <v>43756</v>
      </c>
      <c r="B1661" s="162">
        <v>77.59</v>
      </c>
    </row>
    <row r="1662" spans="1:2" ht="18" x14ac:dyDescent="0.2">
      <c r="A1662" s="163">
        <v>43755</v>
      </c>
      <c r="B1662" s="162">
        <v>78.959999999999994</v>
      </c>
    </row>
    <row r="1663" spans="1:2" ht="18" x14ac:dyDescent="0.2">
      <c r="A1663" s="163">
        <v>43754</v>
      </c>
      <c r="B1663" s="162">
        <v>79.069999999999993</v>
      </c>
    </row>
    <row r="1664" spans="1:2" ht="18" x14ac:dyDescent="0.2">
      <c r="A1664" s="163">
        <v>43753</v>
      </c>
      <c r="B1664" s="162">
        <v>79.84</v>
      </c>
    </row>
    <row r="1665" spans="1:2" ht="18" x14ac:dyDescent="0.2">
      <c r="A1665" s="163">
        <v>43752</v>
      </c>
      <c r="B1665" s="162">
        <v>77.34</v>
      </c>
    </row>
    <row r="1666" spans="1:2" ht="18" x14ac:dyDescent="0.2">
      <c r="A1666" s="163">
        <v>43749</v>
      </c>
      <c r="B1666" s="162">
        <v>77.36</v>
      </c>
    </row>
    <row r="1667" spans="1:2" ht="18" x14ac:dyDescent="0.2">
      <c r="A1667" s="163">
        <v>43748</v>
      </c>
      <c r="B1667" s="162">
        <v>76.8</v>
      </c>
    </row>
    <row r="1668" spans="1:2" ht="18" x14ac:dyDescent="0.2">
      <c r="A1668" s="163">
        <v>43747</v>
      </c>
      <c r="B1668" s="162">
        <v>73.290000000000006</v>
      </c>
    </row>
    <row r="1669" spans="1:2" ht="18" x14ac:dyDescent="0.2">
      <c r="A1669" s="163">
        <v>43746</v>
      </c>
      <c r="B1669" s="162">
        <v>72.459999999999994</v>
      </c>
    </row>
    <row r="1670" spans="1:2" ht="18" x14ac:dyDescent="0.2">
      <c r="A1670" s="163">
        <v>43745</v>
      </c>
      <c r="B1670" s="162">
        <v>73.959999999999994</v>
      </c>
    </row>
    <row r="1671" spans="1:2" ht="18" x14ac:dyDescent="0.2">
      <c r="A1671" s="163">
        <v>43742</v>
      </c>
      <c r="B1671" s="162">
        <v>74.88</v>
      </c>
    </row>
    <row r="1672" spans="1:2" ht="18" x14ac:dyDescent="0.2">
      <c r="A1672" s="163">
        <v>43741</v>
      </c>
      <c r="B1672" s="162">
        <v>72.83</v>
      </c>
    </row>
    <row r="1673" spans="1:2" ht="18" x14ac:dyDescent="0.2">
      <c r="A1673" s="163">
        <v>43740</v>
      </c>
      <c r="B1673" s="162">
        <v>71.37</v>
      </c>
    </row>
    <row r="1674" spans="1:2" ht="18" x14ac:dyDescent="0.2">
      <c r="A1674" s="163">
        <v>43739</v>
      </c>
      <c r="B1674" s="162">
        <v>73.17</v>
      </c>
    </row>
    <row r="1675" spans="1:2" ht="18" x14ac:dyDescent="0.2">
      <c r="A1675" s="163">
        <v>43738</v>
      </c>
      <c r="B1675" s="162">
        <v>74.14</v>
      </c>
    </row>
    <row r="1676" spans="1:2" ht="18" x14ac:dyDescent="0.2">
      <c r="A1676" s="163">
        <v>43735</v>
      </c>
      <c r="B1676" s="162">
        <v>73.23</v>
      </c>
    </row>
    <row r="1677" spans="1:2" ht="18" x14ac:dyDescent="0.2">
      <c r="A1677" s="163">
        <v>43734</v>
      </c>
      <c r="B1677" s="162">
        <v>75.099999999999994</v>
      </c>
    </row>
    <row r="1678" spans="1:2" ht="18" x14ac:dyDescent="0.2">
      <c r="A1678" s="163">
        <v>43733</v>
      </c>
      <c r="B1678" s="162">
        <v>76.930000000000007</v>
      </c>
    </row>
    <row r="1679" spans="1:2" ht="18" x14ac:dyDescent="0.2">
      <c r="A1679" s="163">
        <v>43732</v>
      </c>
      <c r="B1679" s="162">
        <v>76.72</v>
      </c>
    </row>
    <row r="1680" spans="1:2" ht="18" x14ac:dyDescent="0.2">
      <c r="A1680" s="163">
        <v>43731</v>
      </c>
      <c r="B1680" s="162">
        <v>77.36</v>
      </c>
    </row>
    <row r="1681" spans="1:2" ht="18" x14ac:dyDescent="0.2">
      <c r="A1681" s="163">
        <v>43728</v>
      </c>
      <c r="B1681" s="162">
        <v>75.98</v>
      </c>
    </row>
    <row r="1682" spans="1:2" ht="18" x14ac:dyDescent="0.2">
      <c r="A1682" s="163">
        <v>43727</v>
      </c>
      <c r="B1682" s="162">
        <v>75.19</v>
      </c>
    </row>
    <row r="1683" spans="1:2" ht="18" x14ac:dyDescent="0.2">
      <c r="A1683" s="163">
        <v>43726</v>
      </c>
      <c r="B1683" s="162">
        <v>76.7</v>
      </c>
    </row>
    <row r="1684" spans="1:2" ht="18" x14ac:dyDescent="0.2">
      <c r="A1684" s="163">
        <v>43725</v>
      </c>
      <c r="B1684" s="162">
        <v>76.349999999999994</v>
      </c>
    </row>
    <row r="1685" spans="1:2" ht="18" x14ac:dyDescent="0.2">
      <c r="A1685" s="163">
        <v>43724</v>
      </c>
      <c r="B1685" s="162">
        <v>77.22</v>
      </c>
    </row>
    <row r="1686" spans="1:2" ht="18" x14ac:dyDescent="0.2">
      <c r="A1686" s="163">
        <v>43721</v>
      </c>
      <c r="B1686" s="162">
        <v>77.510000000000005</v>
      </c>
    </row>
    <row r="1687" spans="1:2" ht="18" x14ac:dyDescent="0.2">
      <c r="A1687" s="163">
        <v>43720</v>
      </c>
      <c r="B1687" s="162">
        <v>77.8</v>
      </c>
    </row>
    <row r="1688" spans="1:2" ht="18" x14ac:dyDescent="0.2">
      <c r="A1688" s="163">
        <v>43719</v>
      </c>
      <c r="B1688" s="162">
        <v>76.27</v>
      </c>
    </row>
    <row r="1689" spans="1:2" ht="18" x14ac:dyDescent="0.2">
      <c r="A1689" s="163">
        <v>43718</v>
      </c>
      <c r="B1689" s="162">
        <v>76.8</v>
      </c>
    </row>
    <row r="1690" spans="1:2" ht="18" x14ac:dyDescent="0.2">
      <c r="A1690" s="163">
        <v>43717</v>
      </c>
      <c r="B1690" s="162">
        <v>76</v>
      </c>
    </row>
    <row r="1691" spans="1:2" ht="18" x14ac:dyDescent="0.2">
      <c r="A1691" s="163">
        <v>43714</v>
      </c>
      <c r="B1691" s="162">
        <v>75.45</v>
      </c>
    </row>
    <row r="1692" spans="1:2" ht="18" x14ac:dyDescent="0.2">
      <c r="A1692" s="163">
        <v>43713</v>
      </c>
      <c r="B1692" s="162">
        <v>75.17</v>
      </c>
    </row>
    <row r="1693" spans="1:2" ht="18" x14ac:dyDescent="0.2">
      <c r="A1693" s="163">
        <v>43712</v>
      </c>
      <c r="B1693" s="162">
        <v>72.37</v>
      </c>
    </row>
    <row r="1694" spans="1:2" ht="18" x14ac:dyDescent="0.2">
      <c r="A1694" s="163">
        <v>43711</v>
      </c>
      <c r="B1694" s="162">
        <v>70.28</v>
      </c>
    </row>
    <row r="1695" spans="1:2" ht="18" x14ac:dyDescent="0.2">
      <c r="A1695" s="163">
        <v>43707</v>
      </c>
      <c r="B1695" s="162">
        <v>71.430000000000007</v>
      </c>
    </row>
    <row r="1696" spans="1:2" ht="18" x14ac:dyDescent="0.2">
      <c r="A1696" s="163">
        <v>43706</v>
      </c>
      <c r="B1696" s="162">
        <v>71.510000000000005</v>
      </c>
    </row>
    <row r="1697" spans="1:2" ht="18" x14ac:dyDescent="0.2">
      <c r="A1697" s="163">
        <v>43705</v>
      </c>
      <c r="B1697" s="162">
        <v>69.569999999999993</v>
      </c>
    </row>
    <row r="1698" spans="1:2" ht="18" x14ac:dyDescent="0.2">
      <c r="A1698" s="163">
        <v>43704</v>
      </c>
      <c r="B1698" s="162">
        <v>70.209999999999994</v>
      </c>
    </row>
    <row r="1699" spans="1:2" ht="18" x14ac:dyDescent="0.2">
      <c r="A1699" s="163">
        <v>43703</v>
      </c>
      <c r="B1699" s="162">
        <v>70.8</v>
      </c>
    </row>
    <row r="1700" spans="1:2" ht="18" x14ac:dyDescent="0.2">
      <c r="A1700" s="163">
        <v>43700</v>
      </c>
      <c r="B1700" s="162">
        <v>70.34</v>
      </c>
    </row>
    <row r="1701" spans="1:2" ht="18" x14ac:dyDescent="0.2">
      <c r="A1701" s="163">
        <v>43699</v>
      </c>
      <c r="B1701" s="162">
        <v>73.489999999999995</v>
      </c>
    </row>
    <row r="1702" spans="1:2" ht="18" x14ac:dyDescent="0.2">
      <c r="A1702" s="163">
        <v>43698</v>
      </c>
      <c r="B1702" s="162">
        <v>74.69</v>
      </c>
    </row>
    <row r="1703" spans="1:2" ht="18" x14ac:dyDescent="0.2">
      <c r="A1703" s="163">
        <v>43697</v>
      </c>
      <c r="B1703" s="162">
        <v>73.06</v>
      </c>
    </row>
    <row r="1704" spans="1:2" ht="18" x14ac:dyDescent="0.2">
      <c r="A1704" s="163">
        <v>43696</v>
      </c>
      <c r="B1704" s="162">
        <v>72.02</v>
      </c>
    </row>
    <row r="1705" spans="1:2" ht="18" x14ac:dyDescent="0.2">
      <c r="A1705" s="163">
        <v>43693</v>
      </c>
      <c r="B1705" s="162">
        <v>71.61</v>
      </c>
    </row>
    <row r="1706" spans="1:2" ht="18" x14ac:dyDescent="0.2">
      <c r="A1706" s="163">
        <v>43692</v>
      </c>
      <c r="B1706" s="162">
        <v>70.11</v>
      </c>
    </row>
    <row r="1707" spans="1:2" ht="18" x14ac:dyDescent="0.2">
      <c r="A1707" s="163">
        <v>43691</v>
      </c>
      <c r="B1707" s="162">
        <v>69.78</v>
      </c>
    </row>
    <row r="1708" spans="1:2" ht="18" x14ac:dyDescent="0.2">
      <c r="A1708" s="163">
        <v>43690</v>
      </c>
      <c r="B1708" s="162">
        <v>71.7</v>
      </c>
    </row>
    <row r="1709" spans="1:2" ht="18" x14ac:dyDescent="0.2">
      <c r="A1709" s="163">
        <v>43689</v>
      </c>
      <c r="B1709" s="162">
        <v>69.39</v>
      </c>
    </row>
    <row r="1710" spans="1:2" ht="18" x14ac:dyDescent="0.2">
      <c r="A1710" s="163">
        <v>43686</v>
      </c>
      <c r="B1710" s="162">
        <v>69.489999999999995</v>
      </c>
    </row>
    <row r="1711" spans="1:2" ht="18" x14ac:dyDescent="0.2">
      <c r="A1711" s="163">
        <v>43685</v>
      </c>
      <c r="B1711" s="162">
        <v>72.06</v>
      </c>
    </row>
    <row r="1712" spans="1:2" ht="18" x14ac:dyDescent="0.2">
      <c r="A1712" s="163">
        <v>43684</v>
      </c>
      <c r="B1712" s="162">
        <v>70.77</v>
      </c>
    </row>
    <row r="1713" spans="1:2" ht="18" x14ac:dyDescent="0.2">
      <c r="A1713" s="163">
        <v>43683</v>
      </c>
      <c r="B1713" s="162">
        <v>70.14</v>
      </c>
    </row>
    <row r="1714" spans="1:2" ht="18" x14ac:dyDescent="0.2">
      <c r="A1714" s="163">
        <v>43682</v>
      </c>
      <c r="B1714" s="162">
        <v>68.150000000000006</v>
      </c>
    </row>
    <row r="1715" spans="1:2" ht="18" x14ac:dyDescent="0.2">
      <c r="A1715" s="163">
        <v>43679</v>
      </c>
      <c r="B1715" s="162">
        <v>70.89</v>
      </c>
    </row>
    <row r="1716" spans="1:2" ht="18" x14ac:dyDescent="0.2">
      <c r="A1716" s="163">
        <v>43678</v>
      </c>
      <c r="B1716" s="162">
        <v>71.34</v>
      </c>
    </row>
    <row r="1717" spans="1:2" ht="18" x14ac:dyDescent="0.2">
      <c r="A1717" s="163">
        <v>43677</v>
      </c>
      <c r="B1717" s="162">
        <v>73.290000000000006</v>
      </c>
    </row>
    <row r="1718" spans="1:2" ht="18" x14ac:dyDescent="0.2">
      <c r="A1718" s="163">
        <v>43676</v>
      </c>
      <c r="B1718" s="162">
        <v>75.489999999999995</v>
      </c>
    </row>
    <row r="1719" spans="1:2" ht="18" x14ac:dyDescent="0.2">
      <c r="A1719" s="163">
        <v>43675</v>
      </c>
      <c r="B1719" s="162">
        <v>74.680000000000007</v>
      </c>
    </row>
    <row r="1720" spans="1:2" ht="18" x14ac:dyDescent="0.2">
      <c r="A1720" s="163">
        <v>43672</v>
      </c>
      <c r="B1720" s="162">
        <v>74.92</v>
      </c>
    </row>
    <row r="1721" spans="1:2" ht="18" x14ac:dyDescent="0.2">
      <c r="A1721" s="163">
        <v>43671</v>
      </c>
      <c r="B1721" s="162">
        <v>74.73</v>
      </c>
    </row>
    <row r="1722" spans="1:2" ht="18" x14ac:dyDescent="0.2">
      <c r="A1722" s="163">
        <v>43670</v>
      </c>
      <c r="B1722" s="162">
        <v>75.33</v>
      </c>
    </row>
    <row r="1723" spans="1:2" ht="18" x14ac:dyDescent="0.2">
      <c r="A1723" s="163">
        <v>43669</v>
      </c>
      <c r="B1723" s="162">
        <v>73.89</v>
      </c>
    </row>
    <row r="1724" spans="1:2" ht="18" x14ac:dyDescent="0.2">
      <c r="A1724" s="163">
        <v>43668</v>
      </c>
      <c r="B1724" s="162">
        <v>72.8</v>
      </c>
    </row>
    <row r="1725" spans="1:2" ht="18" x14ac:dyDescent="0.2">
      <c r="A1725" s="163">
        <v>43665</v>
      </c>
      <c r="B1725" s="162">
        <v>71.290000000000006</v>
      </c>
    </row>
    <row r="1726" spans="1:2" ht="18" x14ac:dyDescent="0.2">
      <c r="A1726" s="163">
        <v>43664</v>
      </c>
      <c r="B1726" s="162">
        <v>71.239999999999995</v>
      </c>
    </row>
    <row r="1727" spans="1:2" ht="18" x14ac:dyDescent="0.2">
      <c r="A1727" s="163">
        <v>43663</v>
      </c>
      <c r="B1727" s="162">
        <v>70.52</v>
      </c>
    </row>
    <row r="1728" spans="1:2" ht="18" x14ac:dyDescent="0.2">
      <c r="A1728" s="163">
        <v>43662</v>
      </c>
      <c r="B1728" s="162">
        <v>70.55</v>
      </c>
    </row>
    <row r="1729" spans="1:2" ht="18" x14ac:dyDescent="0.2">
      <c r="A1729" s="163">
        <v>43661</v>
      </c>
      <c r="B1729" s="162">
        <v>70.69</v>
      </c>
    </row>
    <row r="1730" spans="1:2" ht="18" x14ac:dyDescent="0.2">
      <c r="A1730" s="163">
        <v>43658</v>
      </c>
      <c r="B1730" s="162">
        <v>70.260000000000005</v>
      </c>
    </row>
    <row r="1731" spans="1:2" ht="18" x14ac:dyDescent="0.2">
      <c r="A1731" s="163">
        <v>43657</v>
      </c>
      <c r="B1731" s="162">
        <v>69.34</v>
      </c>
    </row>
    <row r="1732" spans="1:2" ht="18" x14ac:dyDescent="0.2">
      <c r="A1732" s="163">
        <v>43656</v>
      </c>
      <c r="B1732" s="162">
        <v>69.34</v>
      </c>
    </row>
    <row r="1733" spans="1:2" ht="18" x14ac:dyDescent="0.2">
      <c r="A1733" s="163">
        <v>43655</v>
      </c>
      <c r="B1733" s="162">
        <v>69.63</v>
      </c>
    </row>
    <row r="1734" spans="1:2" ht="18" x14ac:dyDescent="0.2">
      <c r="A1734" s="163">
        <v>43654</v>
      </c>
      <c r="B1734" s="162">
        <v>68.959999999999994</v>
      </c>
    </row>
    <row r="1735" spans="1:2" ht="18" x14ac:dyDescent="0.2">
      <c r="A1735" s="163">
        <v>43651</v>
      </c>
      <c r="B1735" s="162">
        <v>68.97</v>
      </c>
    </row>
    <row r="1736" spans="1:2" ht="18" x14ac:dyDescent="0.2">
      <c r="A1736" s="163">
        <v>43649</v>
      </c>
      <c r="B1736" s="162">
        <v>68.989999999999995</v>
      </c>
    </row>
    <row r="1737" spans="1:2" ht="18" x14ac:dyDescent="0.2">
      <c r="A1737" s="163">
        <v>43648</v>
      </c>
      <c r="B1737" s="162">
        <v>69.62</v>
      </c>
    </row>
    <row r="1738" spans="1:2" ht="18" x14ac:dyDescent="0.2">
      <c r="A1738" s="163">
        <v>43647</v>
      </c>
      <c r="B1738" s="162">
        <v>70.58</v>
      </c>
    </row>
    <row r="1739" spans="1:2" ht="18" x14ac:dyDescent="0.2">
      <c r="A1739" s="163">
        <v>43644</v>
      </c>
      <c r="B1739" s="162">
        <v>66.61</v>
      </c>
    </row>
    <row r="1740" spans="1:2" ht="18" x14ac:dyDescent="0.2">
      <c r="A1740" s="163">
        <v>43643</v>
      </c>
      <c r="B1740" s="162">
        <v>67.06</v>
      </c>
    </row>
    <row r="1741" spans="1:2" ht="18" x14ac:dyDescent="0.2">
      <c r="A1741" s="163">
        <v>43642</v>
      </c>
      <c r="B1741" s="162">
        <v>65.64</v>
      </c>
    </row>
    <row r="1742" spans="1:2" ht="18" x14ac:dyDescent="0.2">
      <c r="A1742" s="163">
        <v>43641</v>
      </c>
      <c r="B1742" s="162">
        <v>63.46</v>
      </c>
    </row>
    <row r="1743" spans="1:2" ht="18" x14ac:dyDescent="0.2">
      <c r="A1743" s="163">
        <v>43640</v>
      </c>
      <c r="B1743" s="162">
        <v>64.55</v>
      </c>
    </row>
    <row r="1744" spans="1:2" ht="18" x14ac:dyDescent="0.2">
      <c r="A1744" s="163">
        <v>43637</v>
      </c>
      <c r="B1744" s="162">
        <v>63.89</v>
      </c>
    </row>
    <row r="1745" spans="1:2" ht="18" x14ac:dyDescent="0.2">
      <c r="A1745" s="163">
        <v>43636</v>
      </c>
      <c r="B1745" s="162">
        <v>64.84</v>
      </c>
    </row>
    <row r="1746" spans="1:2" ht="18" x14ac:dyDescent="0.2">
      <c r="A1746" s="163">
        <v>43635</v>
      </c>
      <c r="B1746" s="162">
        <v>65.59</v>
      </c>
    </row>
    <row r="1747" spans="1:2" ht="18" x14ac:dyDescent="0.2">
      <c r="A1747" s="163">
        <v>43634</v>
      </c>
      <c r="B1747" s="162">
        <v>65.09</v>
      </c>
    </row>
    <row r="1748" spans="1:2" ht="18" x14ac:dyDescent="0.2">
      <c r="A1748" s="163">
        <v>43633</v>
      </c>
      <c r="B1748" s="162">
        <v>61.66</v>
      </c>
    </row>
    <row r="1749" spans="1:2" ht="18" x14ac:dyDescent="0.2">
      <c r="A1749" s="163">
        <v>43630</v>
      </c>
      <c r="B1749" s="162">
        <v>61.5</v>
      </c>
    </row>
    <row r="1750" spans="1:2" ht="18" x14ac:dyDescent="0.2">
      <c r="A1750" s="163">
        <v>43629</v>
      </c>
      <c r="B1750" s="162">
        <v>63.31</v>
      </c>
    </row>
    <row r="1751" spans="1:2" ht="18" x14ac:dyDescent="0.2">
      <c r="A1751" s="163">
        <v>43628</v>
      </c>
      <c r="B1751" s="162">
        <v>62.78</v>
      </c>
    </row>
    <row r="1752" spans="1:2" ht="18" x14ac:dyDescent="0.2">
      <c r="A1752" s="163">
        <v>43627</v>
      </c>
      <c r="B1752" s="162">
        <v>64.31</v>
      </c>
    </row>
    <row r="1753" spans="1:2" ht="18" x14ac:dyDescent="0.2">
      <c r="A1753" s="163">
        <v>43626</v>
      </c>
      <c r="B1753" s="162">
        <v>65.5</v>
      </c>
    </row>
    <row r="1754" spans="1:2" ht="18" x14ac:dyDescent="0.2">
      <c r="A1754" s="163">
        <v>43623</v>
      </c>
      <c r="B1754" s="162">
        <v>64.38</v>
      </c>
    </row>
    <row r="1755" spans="1:2" ht="18" x14ac:dyDescent="0.2">
      <c r="A1755" s="163">
        <v>43622</v>
      </c>
      <c r="B1755" s="162">
        <v>63.45</v>
      </c>
    </row>
    <row r="1756" spans="1:2" ht="18" x14ac:dyDescent="0.2">
      <c r="A1756" s="163">
        <v>43621</v>
      </c>
      <c r="B1756" s="162">
        <v>63.44</v>
      </c>
    </row>
    <row r="1757" spans="1:2" ht="18" x14ac:dyDescent="0.2">
      <c r="A1757" s="163">
        <v>43620</v>
      </c>
      <c r="B1757" s="162">
        <v>64.180000000000007</v>
      </c>
    </row>
    <row r="1758" spans="1:2" ht="18" x14ac:dyDescent="0.2">
      <c r="A1758" s="163">
        <v>43619</v>
      </c>
      <c r="B1758" s="162">
        <v>61.88</v>
      </c>
    </row>
    <row r="1759" spans="1:2" ht="18" x14ac:dyDescent="0.2">
      <c r="A1759" s="163">
        <v>43616</v>
      </c>
      <c r="B1759" s="162">
        <v>61.18</v>
      </c>
    </row>
    <row r="1760" spans="1:2" ht="18" x14ac:dyDescent="0.2">
      <c r="A1760" s="163">
        <v>43615</v>
      </c>
      <c r="B1760" s="162">
        <v>61.87</v>
      </c>
    </row>
    <row r="1761" spans="1:2" ht="18" x14ac:dyDescent="0.2">
      <c r="A1761" s="163">
        <v>43614</v>
      </c>
      <c r="B1761" s="162">
        <v>62.08</v>
      </c>
    </row>
    <row r="1762" spans="1:2" ht="18" x14ac:dyDescent="0.2">
      <c r="A1762" s="163">
        <v>43613</v>
      </c>
      <c r="B1762" s="162">
        <v>60.75</v>
      </c>
    </row>
    <row r="1763" spans="1:2" ht="18" x14ac:dyDescent="0.2">
      <c r="A1763" s="163">
        <v>43609</v>
      </c>
      <c r="B1763" s="162">
        <v>62.3</v>
      </c>
    </row>
    <row r="1764" spans="1:2" ht="18" x14ac:dyDescent="0.2">
      <c r="A1764" s="163">
        <v>43608</v>
      </c>
      <c r="B1764" s="162">
        <v>60.66</v>
      </c>
    </row>
    <row r="1765" spans="1:2" ht="18" x14ac:dyDescent="0.2">
      <c r="A1765" s="163">
        <v>43607</v>
      </c>
      <c r="B1765" s="162">
        <v>60.2</v>
      </c>
    </row>
    <row r="1766" spans="1:2" ht="18" x14ac:dyDescent="0.2">
      <c r="A1766" s="163">
        <v>43606</v>
      </c>
      <c r="B1766" s="162">
        <v>61.54</v>
      </c>
    </row>
    <row r="1767" spans="1:2" ht="18" x14ac:dyDescent="0.2">
      <c r="A1767" s="163">
        <v>43605</v>
      </c>
      <c r="B1767" s="162">
        <v>61.27</v>
      </c>
    </row>
    <row r="1768" spans="1:2" ht="18" x14ac:dyDescent="0.2">
      <c r="A1768" s="163">
        <v>43602</v>
      </c>
      <c r="B1768" s="162">
        <v>63.93</v>
      </c>
    </row>
    <row r="1769" spans="1:2" ht="18" x14ac:dyDescent="0.2">
      <c r="A1769" s="163">
        <v>43601</v>
      </c>
      <c r="B1769" s="162">
        <v>68.11</v>
      </c>
    </row>
    <row r="1770" spans="1:2" ht="18" x14ac:dyDescent="0.2">
      <c r="A1770" s="163">
        <v>43600</v>
      </c>
      <c r="B1770" s="162">
        <v>73.349999999999994</v>
      </c>
    </row>
    <row r="1771" spans="1:2" ht="18" x14ac:dyDescent="0.2">
      <c r="A1771" s="163">
        <v>43599</v>
      </c>
      <c r="B1771" s="162">
        <v>72.86</v>
      </c>
    </row>
    <row r="1772" spans="1:2" ht="18" x14ac:dyDescent="0.2">
      <c r="A1772" s="163">
        <v>43598</v>
      </c>
      <c r="B1772" s="162">
        <v>71.05</v>
      </c>
    </row>
    <row r="1773" spans="1:2" ht="18" x14ac:dyDescent="0.2">
      <c r="A1773" s="163">
        <v>43595</v>
      </c>
      <c r="B1773" s="162">
        <v>75.069999999999993</v>
      </c>
    </row>
    <row r="1774" spans="1:2" ht="18" x14ac:dyDescent="0.2">
      <c r="A1774" s="163">
        <v>43594</v>
      </c>
      <c r="B1774" s="162">
        <v>75.150000000000006</v>
      </c>
    </row>
    <row r="1775" spans="1:2" ht="18" x14ac:dyDescent="0.2">
      <c r="A1775" s="163">
        <v>43593</v>
      </c>
      <c r="B1775" s="162">
        <v>76.180000000000007</v>
      </c>
    </row>
    <row r="1776" spans="1:2" ht="18" x14ac:dyDescent="0.2">
      <c r="A1776" s="163">
        <v>43592</v>
      </c>
      <c r="B1776" s="162">
        <v>73.680000000000007</v>
      </c>
    </row>
    <row r="1777" spans="1:2" ht="18" x14ac:dyDescent="0.2">
      <c r="A1777" s="163">
        <v>43591</v>
      </c>
      <c r="B1777" s="162">
        <v>74.33</v>
      </c>
    </row>
    <row r="1778" spans="1:2" ht="18" x14ac:dyDescent="0.2">
      <c r="A1778" s="163">
        <v>43588</v>
      </c>
      <c r="B1778" s="162">
        <v>75.180000000000007</v>
      </c>
    </row>
    <row r="1779" spans="1:2" ht="18" x14ac:dyDescent="0.2">
      <c r="A1779" s="163">
        <v>43587</v>
      </c>
      <c r="B1779" s="162">
        <v>76.75</v>
      </c>
    </row>
    <row r="1780" spans="1:2" ht="18" x14ac:dyDescent="0.2">
      <c r="A1780" s="163">
        <v>43586</v>
      </c>
      <c r="B1780" s="162">
        <v>75.58</v>
      </c>
    </row>
    <row r="1781" spans="1:2" ht="18" x14ac:dyDescent="0.2">
      <c r="A1781" s="163">
        <v>43585</v>
      </c>
      <c r="B1781" s="162">
        <v>75.61</v>
      </c>
    </row>
    <row r="1782" spans="1:2" ht="18" x14ac:dyDescent="0.2">
      <c r="A1782" s="163">
        <v>43584</v>
      </c>
      <c r="B1782" s="162">
        <v>75.45</v>
      </c>
    </row>
    <row r="1783" spans="1:2" ht="18" x14ac:dyDescent="0.2">
      <c r="A1783" s="163">
        <v>43581</v>
      </c>
      <c r="B1783" s="162">
        <v>74.989999999999995</v>
      </c>
    </row>
    <row r="1784" spans="1:2" ht="18" x14ac:dyDescent="0.2">
      <c r="A1784" s="163">
        <v>43580</v>
      </c>
      <c r="B1784" s="162">
        <v>77.3</v>
      </c>
    </row>
    <row r="1785" spans="1:2" ht="18" x14ac:dyDescent="0.2">
      <c r="A1785" s="163">
        <v>43579</v>
      </c>
      <c r="B1785" s="162">
        <v>77.25</v>
      </c>
    </row>
    <row r="1786" spans="1:2" ht="18" x14ac:dyDescent="0.2">
      <c r="A1786" s="163">
        <v>43578</v>
      </c>
      <c r="B1786" s="162">
        <v>76.599999999999994</v>
      </c>
    </row>
    <row r="1787" spans="1:2" ht="18" x14ac:dyDescent="0.2">
      <c r="A1787" s="163">
        <v>43577</v>
      </c>
      <c r="B1787" s="162">
        <v>76.010000000000005</v>
      </c>
    </row>
    <row r="1788" spans="1:2" ht="18" x14ac:dyDescent="0.2">
      <c r="A1788" s="163">
        <v>43573</v>
      </c>
      <c r="B1788" s="162">
        <v>76.680000000000007</v>
      </c>
    </row>
    <row r="1789" spans="1:2" ht="18" x14ac:dyDescent="0.2">
      <c r="A1789" s="163">
        <v>43572</v>
      </c>
      <c r="B1789" s="162">
        <v>76.56</v>
      </c>
    </row>
    <row r="1790" spans="1:2" ht="18" x14ac:dyDescent="0.2">
      <c r="A1790" s="163">
        <v>43571</v>
      </c>
      <c r="B1790" s="162">
        <v>78.31</v>
      </c>
    </row>
    <row r="1791" spans="1:2" ht="18" x14ac:dyDescent="0.2">
      <c r="A1791" s="163">
        <v>43570</v>
      </c>
      <c r="B1791" s="162">
        <v>76.39</v>
      </c>
    </row>
    <row r="1792" spans="1:2" ht="18" x14ac:dyDescent="0.2">
      <c r="A1792" s="163">
        <v>43567</v>
      </c>
      <c r="B1792" s="162">
        <v>77.19</v>
      </c>
    </row>
    <row r="1793" spans="1:2" ht="18" x14ac:dyDescent="0.2">
      <c r="A1793" s="163">
        <v>43566</v>
      </c>
      <c r="B1793" s="162">
        <v>76.05</v>
      </c>
    </row>
    <row r="1794" spans="1:2" ht="18" x14ac:dyDescent="0.2">
      <c r="A1794" s="163">
        <v>43565</v>
      </c>
      <c r="B1794" s="162">
        <v>76.23</v>
      </c>
    </row>
    <row r="1795" spans="1:2" ht="18" x14ac:dyDescent="0.2">
      <c r="A1795" s="163">
        <v>43564</v>
      </c>
      <c r="B1795" s="162">
        <v>75.22</v>
      </c>
    </row>
    <row r="1796" spans="1:2" ht="18" x14ac:dyDescent="0.2">
      <c r="A1796" s="163">
        <v>43563</v>
      </c>
      <c r="B1796" s="162">
        <v>75.25</v>
      </c>
    </row>
    <row r="1797" spans="1:2" ht="18" x14ac:dyDescent="0.2">
      <c r="A1797" s="163">
        <v>43560</v>
      </c>
      <c r="B1797" s="162">
        <v>74.89</v>
      </c>
    </row>
    <row r="1798" spans="1:2" ht="18" x14ac:dyDescent="0.2">
      <c r="A1798" s="163">
        <v>43559</v>
      </c>
      <c r="B1798" s="162">
        <v>74.040000000000006</v>
      </c>
    </row>
    <row r="1799" spans="1:2" ht="18" x14ac:dyDescent="0.2">
      <c r="A1799" s="163">
        <v>43558</v>
      </c>
      <c r="B1799" s="162">
        <v>74.41</v>
      </c>
    </row>
    <row r="1800" spans="1:2" ht="18" x14ac:dyDescent="0.2">
      <c r="A1800" s="163">
        <v>43557</v>
      </c>
      <c r="B1800" s="162">
        <v>74.069999999999993</v>
      </c>
    </row>
    <row r="1801" spans="1:2" ht="18" x14ac:dyDescent="0.2">
      <c r="A1801" s="163">
        <v>43556</v>
      </c>
      <c r="B1801" s="162">
        <v>73.209999999999994</v>
      </c>
    </row>
    <row r="1802" spans="1:2" ht="18" x14ac:dyDescent="0.2">
      <c r="A1802" s="163">
        <v>43553</v>
      </c>
      <c r="B1802" s="162">
        <v>71.73</v>
      </c>
    </row>
    <row r="1803" spans="1:2" ht="18" x14ac:dyDescent="0.2">
      <c r="A1803" s="163">
        <v>43552</v>
      </c>
      <c r="B1803" s="162">
        <v>70.23</v>
      </c>
    </row>
    <row r="1804" spans="1:2" ht="18" x14ac:dyDescent="0.2">
      <c r="A1804" s="163">
        <v>43551</v>
      </c>
      <c r="B1804" s="162">
        <v>70.569999999999993</v>
      </c>
    </row>
    <row r="1805" spans="1:2" ht="18" x14ac:dyDescent="0.2">
      <c r="A1805" s="163">
        <v>43550</v>
      </c>
      <c r="B1805" s="162">
        <v>71.150000000000006</v>
      </c>
    </row>
    <row r="1806" spans="1:2" ht="18" x14ac:dyDescent="0.2">
      <c r="A1806" s="163">
        <v>43549</v>
      </c>
      <c r="B1806" s="162">
        <v>70.87</v>
      </c>
    </row>
    <row r="1807" spans="1:2" ht="18" x14ac:dyDescent="0.2">
      <c r="A1807" s="163">
        <v>43546</v>
      </c>
      <c r="B1807" s="162">
        <v>71.67</v>
      </c>
    </row>
    <row r="1808" spans="1:2" ht="18" x14ac:dyDescent="0.2">
      <c r="A1808" s="163">
        <v>43545</v>
      </c>
      <c r="B1808" s="162">
        <v>73.89</v>
      </c>
    </row>
    <row r="1809" spans="1:2" ht="18" x14ac:dyDescent="0.2">
      <c r="A1809" s="163">
        <v>43544</v>
      </c>
      <c r="B1809" s="162">
        <v>69.12</v>
      </c>
    </row>
    <row r="1810" spans="1:2" ht="18" x14ac:dyDescent="0.2">
      <c r="A1810" s="163">
        <v>43543</v>
      </c>
      <c r="B1810" s="162">
        <v>70.11</v>
      </c>
    </row>
    <row r="1811" spans="1:2" ht="18" x14ac:dyDescent="0.2">
      <c r="A1811" s="163">
        <v>43542</v>
      </c>
      <c r="B1811" s="162">
        <v>69.83</v>
      </c>
    </row>
    <row r="1812" spans="1:2" ht="18" x14ac:dyDescent="0.2">
      <c r="A1812" s="163">
        <v>43539</v>
      </c>
      <c r="B1812" s="162">
        <v>69.66</v>
      </c>
    </row>
    <row r="1813" spans="1:2" ht="18" x14ac:dyDescent="0.2">
      <c r="A1813" s="163">
        <v>43538</v>
      </c>
      <c r="B1813" s="162">
        <v>68.650000000000006</v>
      </c>
    </row>
    <row r="1814" spans="1:2" ht="18" x14ac:dyDescent="0.2">
      <c r="A1814" s="163">
        <v>43537</v>
      </c>
      <c r="B1814" s="162">
        <v>69.09</v>
      </c>
    </row>
    <row r="1815" spans="1:2" ht="18" x14ac:dyDescent="0.2">
      <c r="A1815" s="163">
        <v>43536</v>
      </c>
      <c r="B1815" s="162">
        <v>69.239999999999995</v>
      </c>
    </row>
    <row r="1816" spans="1:2" ht="18" x14ac:dyDescent="0.2">
      <c r="A1816" s="163">
        <v>43535</v>
      </c>
      <c r="B1816" s="162">
        <v>69.37</v>
      </c>
    </row>
    <row r="1817" spans="1:2" ht="18" x14ac:dyDescent="0.2">
      <c r="A1817" s="163">
        <v>43532</v>
      </c>
      <c r="B1817" s="162">
        <v>68.58</v>
      </c>
    </row>
    <row r="1818" spans="1:2" ht="18" x14ac:dyDescent="0.2">
      <c r="A1818" s="163">
        <v>43531</v>
      </c>
      <c r="B1818" s="162">
        <v>68.349999999999994</v>
      </c>
    </row>
    <row r="1819" spans="1:2" ht="18" x14ac:dyDescent="0.2">
      <c r="A1819" s="163">
        <v>43530</v>
      </c>
      <c r="B1819" s="162">
        <v>69.069999999999993</v>
      </c>
    </row>
    <row r="1820" spans="1:2" ht="18" x14ac:dyDescent="0.2">
      <c r="A1820" s="163">
        <v>43529</v>
      </c>
      <c r="B1820" s="162">
        <v>69.86</v>
      </c>
    </row>
    <row r="1821" spans="1:2" ht="18" x14ac:dyDescent="0.2">
      <c r="A1821" s="163">
        <v>43528</v>
      </c>
      <c r="B1821" s="162">
        <v>70.05</v>
      </c>
    </row>
    <row r="1822" spans="1:2" ht="18" x14ac:dyDescent="0.2">
      <c r="A1822" s="163">
        <v>43525</v>
      </c>
      <c r="B1822" s="162">
        <v>70.5</v>
      </c>
    </row>
    <row r="1823" spans="1:2" ht="18" x14ac:dyDescent="0.2">
      <c r="A1823" s="163">
        <v>43524</v>
      </c>
      <c r="B1823" s="162">
        <v>70.14</v>
      </c>
    </row>
    <row r="1824" spans="1:2" ht="18" x14ac:dyDescent="0.2">
      <c r="A1824" s="163">
        <v>43523</v>
      </c>
      <c r="B1824" s="162">
        <v>69.349999999999994</v>
      </c>
    </row>
    <row r="1825" spans="1:2" ht="18" x14ac:dyDescent="0.2">
      <c r="A1825" s="163">
        <v>43522</v>
      </c>
      <c r="B1825" s="162">
        <v>69.14</v>
      </c>
    </row>
    <row r="1826" spans="1:2" ht="18" x14ac:dyDescent="0.2">
      <c r="A1826" s="163">
        <v>43521</v>
      </c>
      <c r="B1826" s="162">
        <v>68.7</v>
      </c>
    </row>
    <row r="1827" spans="1:2" ht="18" x14ac:dyDescent="0.2">
      <c r="A1827" s="163">
        <v>43518</v>
      </c>
      <c r="B1827" s="162">
        <v>67.8</v>
      </c>
    </row>
    <row r="1828" spans="1:2" ht="18" x14ac:dyDescent="0.2">
      <c r="A1828" s="163">
        <v>43517</v>
      </c>
      <c r="B1828" s="162">
        <v>66.06</v>
      </c>
    </row>
    <row r="1829" spans="1:2" ht="18" x14ac:dyDescent="0.2">
      <c r="A1829" s="163">
        <v>43516</v>
      </c>
      <c r="B1829" s="162">
        <v>65.86</v>
      </c>
    </row>
    <row r="1830" spans="1:2" ht="18" x14ac:dyDescent="0.2">
      <c r="A1830" s="163">
        <v>43515</v>
      </c>
      <c r="B1830" s="162">
        <v>64.87</v>
      </c>
    </row>
    <row r="1831" spans="1:2" ht="18" x14ac:dyDescent="0.2">
      <c r="A1831" s="163">
        <v>43511</v>
      </c>
      <c r="B1831" s="162">
        <v>65.16</v>
      </c>
    </row>
    <row r="1832" spans="1:2" ht="18" x14ac:dyDescent="0.2">
      <c r="A1832" s="163">
        <v>43510</v>
      </c>
      <c r="B1832" s="162">
        <v>64.67</v>
      </c>
    </row>
    <row r="1833" spans="1:2" ht="18" x14ac:dyDescent="0.2">
      <c r="A1833" s="163">
        <v>43509</v>
      </c>
      <c r="B1833" s="162">
        <v>64.900000000000006</v>
      </c>
    </row>
    <row r="1834" spans="1:2" ht="18" x14ac:dyDescent="0.2">
      <c r="A1834" s="163">
        <v>43508</v>
      </c>
      <c r="B1834" s="162">
        <v>65.180000000000007</v>
      </c>
    </row>
    <row r="1835" spans="1:2" ht="18" x14ac:dyDescent="0.2">
      <c r="A1835" s="163">
        <v>43507</v>
      </c>
      <c r="B1835" s="162">
        <v>64.5</v>
      </c>
    </row>
    <row r="1836" spans="1:2" ht="18" x14ac:dyDescent="0.2">
      <c r="A1836" s="163">
        <v>43504</v>
      </c>
      <c r="B1836" s="162">
        <v>64.510000000000005</v>
      </c>
    </row>
    <row r="1837" spans="1:2" ht="18" x14ac:dyDescent="0.2">
      <c r="A1837" s="163">
        <v>43503</v>
      </c>
      <c r="B1837" s="162">
        <v>66.53</v>
      </c>
    </row>
    <row r="1838" spans="1:2" ht="18" x14ac:dyDescent="0.2">
      <c r="A1838" s="163">
        <v>43502</v>
      </c>
      <c r="B1838" s="162">
        <v>68.63</v>
      </c>
    </row>
    <row r="1839" spans="1:2" ht="18" x14ac:dyDescent="0.2">
      <c r="A1839" s="163">
        <v>43501</v>
      </c>
      <c r="B1839" s="162">
        <v>66.040000000000006</v>
      </c>
    </row>
    <row r="1840" spans="1:2" ht="18" x14ac:dyDescent="0.2">
      <c r="A1840" s="163">
        <v>43500</v>
      </c>
      <c r="B1840" s="162">
        <v>65.959999999999994</v>
      </c>
    </row>
    <row r="1841" spans="1:2" ht="18" x14ac:dyDescent="0.2">
      <c r="A1841" s="163">
        <v>43497</v>
      </c>
      <c r="B1841" s="162">
        <v>65.92</v>
      </c>
    </row>
    <row r="1842" spans="1:2" ht="18" x14ac:dyDescent="0.2">
      <c r="A1842" s="163">
        <v>43496</v>
      </c>
      <c r="B1842" s="162">
        <v>65.36</v>
      </c>
    </row>
    <row r="1843" spans="1:2" ht="18" x14ac:dyDescent="0.2">
      <c r="A1843" s="163">
        <v>43495</v>
      </c>
      <c r="B1843" s="162">
        <v>65.53</v>
      </c>
    </row>
    <row r="1844" spans="1:2" ht="18" x14ac:dyDescent="0.2">
      <c r="A1844" s="163">
        <v>43494</v>
      </c>
      <c r="B1844" s="162">
        <v>63.66</v>
      </c>
    </row>
    <row r="1845" spans="1:2" ht="18" x14ac:dyDescent="0.2">
      <c r="A1845" s="163">
        <v>43493</v>
      </c>
      <c r="B1845" s="162">
        <v>65.09</v>
      </c>
    </row>
    <row r="1846" spans="1:2" ht="18" x14ac:dyDescent="0.2">
      <c r="A1846" s="163">
        <v>43490</v>
      </c>
      <c r="B1846" s="162">
        <v>65.760000000000005</v>
      </c>
    </row>
    <row r="1847" spans="1:2" ht="18" x14ac:dyDescent="0.2">
      <c r="A1847" s="163">
        <v>43489</v>
      </c>
      <c r="B1847" s="162">
        <v>63.38</v>
      </c>
    </row>
    <row r="1848" spans="1:2" ht="18" x14ac:dyDescent="0.2">
      <c r="A1848" s="163">
        <v>43488</v>
      </c>
      <c r="B1848" s="162">
        <v>61.91</v>
      </c>
    </row>
    <row r="1849" spans="1:2" ht="18" x14ac:dyDescent="0.2">
      <c r="A1849" s="163">
        <v>43487</v>
      </c>
      <c r="B1849" s="162">
        <v>61.94</v>
      </c>
    </row>
    <row r="1850" spans="1:2" ht="18" x14ac:dyDescent="0.2">
      <c r="A1850" s="163">
        <v>43483</v>
      </c>
      <c r="B1850" s="162">
        <v>63.28</v>
      </c>
    </row>
    <row r="1851" spans="1:2" ht="18" x14ac:dyDescent="0.2">
      <c r="A1851" s="163">
        <v>43482</v>
      </c>
      <c r="B1851" s="162">
        <v>62.25</v>
      </c>
    </row>
    <row r="1852" spans="1:2" ht="18" x14ac:dyDescent="0.2">
      <c r="A1852" s="163">
        <v>43481</v>
      </c>
      <c r="B1852" s="162">
        <v>61.41</v>
      </c>
    </row>
    <row r="1853" spans="1:2" ht="18" x14ac:dyDescent="0.2">
      <c r="A1853" s="163">
        <v>43480</v>
      </c>
      <c r="B1853" s="162">
        <v>61.56</v>
      </c>
    </row>
    <row r="1854" spans="1:2" ht="18" x14ac:dyDescent="0.2">
      <c r="A1854" s="163">
        <v>43479</v>
      </c>
      <c r="B1854" s="162">
        <v>61.18</v>
      </c>
    </row>
    <row r="1855" spans="1:2" ht="18" x14ac:dyDescent="0.2">
      <c r="A1855" s="163">
        <v>43476</v>
      </c>
      <c r="B1855" s="162">
        <v>63.69</v>
      </c>
    </row>
    <row r="1856" spans="1:2" ht="18" x14ac:dyDescent="0.2">
      <c r="A1856" s="163">
        <v>43475</v>
      </c>
      <c r="B1856" s="162">
        <v>61.86</v>
      </c>
    </row>
    <row r="1857" spans="1:2" ht="18" x14ac:dyDescent="0.2">
      <c r="A1857" s="163">
        <v>43474</v>
      </c>
      <c r="B1857" s="162">
        <v>60.45</v>
      </c>
    </row>
    <row r="1858" spans="1:2" ht="18" x14ac:dyDescent="0.2">
      <c r="A1858" s="163">
        <v>43473</v>
      </c>
      <c r="B1858" s="162">
        <v>59.37</v>
      </c>
    </row>
    <row r="1859" spans="1:2" ht="18" x14ac:dyDescent="0.2">
      <c r="A1859" s="163">
        <v>43472</v>
      </c>
      <c r="B1859" s="162">
        <v>59.78</v>
      </c>
    </row>
    <row r="1860" spans="1:2" ht="18" x14ac:dyDescent="0.2">
      <c r="A1860" s="163">
        <v>43469</v>
      </c>
      <c r="B1860" s="162">
        <v>59.37</v>
      </c>
    </row>
    <row r="1861" spans="1:2" ht="18" x14ac:dyDescent="0.2">
      <c r="A1861" s="163">
        <v>43468</v>
      </c>
      <c r="B1861" s="162">
        <v>55.64</v>
      </c>
    </row>
    <row r="1862" spans="1:2" ht="18" x14ac:dyDescent="0.2">
      <c r="A1862" s="163">
        <v>43467</v>
      </c>
      <c r="B1862" s="162">
        <v>61.18</v>
      </c>
    </row>
    <row r="1863" spans="1:2" ht="18" x14ac:dyDescent="0.2">
      <c r="A1863" s="163">
        <v>43465</v>
      </c>
      <c r="B1863" s="162">
        <v>60.73</v>
      </c>
    </row>
    <row r="1864" spans="1:2" ht="18" x14ac:dyDescent="0.2">
      <c r="A1864" s="163">
        <v>43462</v>
      </c>
      <c r="B1864" s="162">
        <v>60.79</v>
      </c>
    </row>
    <row r="1865" spans="1:2" ht="18" x14ac:dyDescent="0.2">
      <c r="A1865" s="163">
        <v>43461</v>
      </c>
      <c r="B1865" s="162">
        <v>60.39</v>
      </c>
    </row>
    <row r="1866" spans="1:2" ht="18" x14ac:dyDescent="0.2">
      <c r="A1866" s="163">
        <v>43460</v>
      </c>
      <c r="B1866" s="162">
        <v>60.02</v>
      </c>
    </row>
    <row r="1867" spans="1:2" ht="18" x14ac:dyDescent="0.2">
      <c r="A1867" s="163">
        <v>43458</v>
      </c>
      <c r="B1867" s="162">
        <v>56.47</v>
      </c>
    </row>
    <row r="1868" spans="1:2" ht="18" x14ac:dyDescent="0.2">
      <c r="A1868" s="163">
        <v>43455</v>
      </c>
      <c r="B1868" s="162">
        <v>57.68</v>
      </c>
    </row>
    <row r="1869" spans="1:2" ht="18" x14ac:dyDescent="0.2">
      <c r="A1869" s="163">
        <v>43454</v>
      </c>
      <c r="B1869" s="162">
        <v>59.8</v>
      </c>
    </row>
    <row r="1870" spans="1:2" ht="18" x14ac:dyDescent="0.2">
      <c r="A1870" s="163">
        <v>43453</v>
      </c>
      <c r="B1870" s="162">
        <v>59.64</v>
      </c>
    </row>
    <row r="1871" spans="1:2" ht="18" x14ac:dyDescent="0.2">
      <c r="A1871" s="163">
        <v>43452</v>
      </c>
      <c r="B1871" s="162">
        <v>61.7</v>
      </c>
    </row>
    <row r="1872" spans="1:2" ht="18" x14ac:dyDescent="0.2">
      <c r="A1872" s="163">
        <v>43451</v>
      </c>
      <c r="B1872" s="162">
        <v>60.34</v>
      </c>
    </row>
    <row r="1873" spans="1:2" ht="18" x14ac:dyDescent="0.2">
      <c r="A1873" s="163">
        <v>43448</v>
      </c>
      <c r="B1873" s="162">
        <v>60.52</v>
      </c>
    </row>
    <row r="1874" spans="1:2" ht="18" x14ac:dyDescent="0.2">
      <c r="A1874" s="163">
        <v>43447</v>
      </c>
      <c r="B1874" s="162">
        <v>60.77</v>
      </c>
    </row>
    <row r="1875" spans="1:2" ht="18" x14ac:dyDescent="0.2">
      <c r="A1875" s="163">
        <v>43446</v>
      </c>
      <c r="B1875" s="162">
        <v>60.64</v>
      </c>
    </row>
    <row r="1876" spans="1:2" ht="18" x14ac:dyDescent="0.2">
      <c r="A1876" s="163">
        <v>43445</v>
      </c>
      <c r="B1876" s="162">
        <v>59.58</v>
      </c>
    </row>
    <row r="1877" spans="1:2" ht="18" x14ac:dyDescent="0.2">
      <c r="A1877" s="163">
        <v>43444</v>
      </c>
      <c r="B1877" s="162">
        <v>59.52</v>
      </c>
    </row>
    <row r="1878" spans="1:2" ht="18" x14ac:dyDescent="0.2">
      <c r="A1878" s="163">
        <v>43441</v>
      </c>
      <c r="B1878" s="162">
        <v>61.13</v>
      </c>
    </row>
    <row r="1879" spans="1:2" ht="18" x14ac:dyDescent="0.2">
      <c r="A1879" s="163">
        <v>43440</v>
      </c>
      <c r="B1879" s="162">
        <v>62.72</v>
      </c>
    </row>
    <row r="1880" spans="1:2" ht="18" x14ac:dyDescent="0.2">
      <c r="A1880" s="163">
        <v>43438</v>
      </c>
      <c r="B1880" s="162">
        <v>64.16</v>
      </c>
    </row>
    <row r="1881" spans="1:2" ht="18" x14ac:dyDescent="0.2">
      <c r="A1881" s="163">
        <v>43437</v>
      </c>
      <c r="B1881" s="162">
        <v>67.75</v>
      </c>
    </row>
    <row r="1882" spans="1:2" ht="18" x14ac:dyDescent="0.2">
      <c r="A1882" s="163">
        <v>43434</v>
      </c>
      <c r="B1882" s="162">
        <v>65.81</v>
      </c>
    </row>
    <row r="1883" spans="1:2" ht="18" x14ac:dyDescent="0.2">
      <c r="A1883" s="163">
        <v>43433</v>
      </c>
      <c r="B1883" s="162">
        <v>65.290000000000006</v>
      </c>
    </row>
    <row r="1884" spans="1:2" ht="18" x14ac:dyDescent="0.2">
      <c r="A1884" s="163">
        <v>43432</v>
      </c>
      <c r="B1884" s="162">
        <v>67.02</v>
      </c>
    </row>
    <row r="1885" spans="1:2" ht="18" x14ac:dyDescent="0.2">
      <c r="A1885" s="163">
        <v>43431</v>
      </c>
      <c r="B1885" s="162">
        <v>64.83</v>
      </c>
    </row>
    <row r="1886" spans="1:2" ht="18" x14ac:dyDescent="0.2">
      <c r="A1886" s="163">
        <v>43430</v>
      </c>
      <c r="B1886" s="162">
        <v>65.47</v>
      </c>
    </row>
    <row r="1887" spans="1:2" ht="18" x14ac:dyDescent="0.2">
      <c r="A1887" s="163">
        <v>43427</v>
      </c>
      <c r="B1887" s="162">
        <v>64.33</v>
      </c>
    </row>
    <row r="1888" spans="1:2" ht="18" x14ac:dyDescent="0.2">
      <c r="A1888" s="163">
        <v>43425</v>
      </c>
      <c r="B1888" s="162">
        <v>63.58</v>
      </c>
    </row>
    <row r="1889" spans="1:2" ht="18" x14ac:dyDescent="0.2">
      <c r="A1889" s="163">
        <v>43424</v>
      </c>
      <c r="B1889" s="162">
        <v>62.02</v>
      </c>
    </row>
    <row r="1890" spans="1:2" ht="18" x14ac:dyDescent="0.2">
      <c r="A1890" s="163">
        <v>43423</v>
      </c>
      <c r="B1890" s="162">
        <v>63.15</v>
      </c>
    </row>
    <row r="1891" spans="1:2" ht="18" x14ac:dyDescent="0.2">
      <c r="A1891" s="163">
        <v>43420</v>
      </c>
      <c r="B1891" s="162">
        <v>66.319999999999993</v>
      </c>
    </row>
    <row r="1892" spans="1:2" ht="18" x14ac:dyDescent="0.2">
      <c r="A1892" s="163">
        <v>43419</v>
      </c>
      <c r="B1892" s="162">
        <v>65.16</v>
      </c>
    </row>
    <row r="1893" spans="1:2" ht="18" x14ac:dyDescent="0.2">
      <c r="A1893" s="163">
        <v>43418</v>
      </c>
      <c r="B1893" s="162">
        <v>62.88</v>
      </c>
    </row>
    <row r="1894" spans="1:2" ht="18" x14ac:dyDescent="0.2">
      <c r="A1894" s="163">
        <v>43417</v>
      </c>
      <c r="B1894" s="162">
        <v>63.65</v>
      </c>
    </row>
    <row r="1895" spans="1:2" ht="18" x14ac:dyDescent="0.2">
      <c r="A1895" s="163">
        <v>43416</v>
      </c>
      <c r="B1895" s="162">
        <v>63.8</v>
      </c>
    </row>
    <row r="1896" spans="1:2" ht="18" x14ac:dyDescent="0.2">
      <c r="A1896" s="163">
        <v>43413</v>
      </c>
      <c r="B1896" s="162">
        <v>68.150000000000006</v>
      </c>
    </row>
    <row r="1897" spans="1:2" ht="18" x14ac:dyDescent="0.2">
      <c r="A1897" s="163">
        <v>43412</v>
      </c>
      <c r="B1897" s="162">
        <v>70.73</v>
      </c>
    </row>
    <row r="1898" spans="1:2" ht="18" x14ac:dyDescent="0.2">
      <c r="A1898" s="163">
        <v>43411</v>
      </c>
      <c r="B1898" s="162">
        <v>70.28</v>
      </c>
    </row>
    <row r="1899" spans="1:2" ht="18" x14ac:dyDescent="0.2">
      <c r="A1899" s="163">
        <v>43410</v>
      </c>
      <c r="B1899" s="162">
        <v>70.010000000000005</v>
      </c>
    </row>
    <row r="1900" spans="1:2" ht="18" x14ac:dyDescent="0.2">
      <c r="A1900" s="163">
        <v>43409</v>
      </c>
      <c r="B1900" s="162">
        <v>69.319999999999993</v>
      </c>
    </row>
    <row r="1901" spans="1:2" ht="18" x14ac:dyDescent="0.2">
      <c r="A1901" s="163">
        <v>43406</v>
      </c>
      <c r="B1901" s="162">
        <v>74</v>
      </c>
    </row>
    <row r="1902" spans="1:2" ht="18" x14ac:dyDescent="0.2">
      <c r="A1902" s="163">
        <v>43405</v>
      </c>
      <c r="B1902" s="162">
        <v>78.489999999999995</v>
      </c>
    </row>
    <row r="1903" spans="1:2" ht="18" x14ac:dyDescent="0.2">
      <c r="A1903" s="163">
        <v>43404</v>
      </c>
      <c r="B1903" s="162">
        <v>73.510000000000005</v>
      </c>
    </row>
    <row r="1904" spans="1:2" ht="18" x14ac:dyDescent="0.2">
      <c r="A1904" s="163">
        <v>43403</v>
      </c>
      <c r="B1904" s="162">
        <v>70.95</v>
      </c>
    </row>
    <row r="1905" spans="1:2" ht="18" x14ac:dyDescent="0.2">
      <c r="A1905" s="163">
        <v>43402</v>
      </c>
      <c r="B1905" s="162">
        <v>69.319999999999993</v>
      </c>
    </row>
    <row r="1906" spans="1:2" ht="18" x14ac:dyDescent="0.2">
      <c r="A1906" s="163">
        <v>43399</v>
      </c>
      <c r="B1906" s="162">
        <v>69.739999999999995</v>
      </c>
    </row>
    <row r="1907" spans="1:2" ht="18" x14ac:dyDescent="0.2">
      <c r="A1907" s="163">
        <v>43398</v>
      </c>
      <c r="B1907" s="162">
        <v>70.98</v>
      </c>
    </row>
    <row r="1908" spans="1:2" ht="18" x14ac:dyDescent="0.2">
      <c r="A1908" s="163">
        <v>43397</v>
      </c>
      <c r="B1908" s="162">
        <v>68.180000000000007</v>
      </c>
    </row>
    <row r="1909" spans="1:2" ht="18" x14ac:dyDescent="0.2">
      <c r="A1909" s="163">
        <v>43396</v>
      </c>
      <c r="B1909" s="162">
        <v>72.3</v>
      </c>
    </row>
    <row r="1910" spans="1:2" ht="18" x14ac:dyDescent="0.2">
      <c r="A1910" s="163">
        <v>43395</v>
      </c>
      <c r="B1910" s="162">
        <v>72.88</v>
      </c>
    </row>
    <row r="1911" spans="1:2" ht="18" x14ac:dyDescent="0.2">
      <c r="A1911" s="163">
        <v>43392</v>
      </c>
      <c r="B1911" s="162">
        <v>72.349999999999994</v>
      </c>
    </row>
    <row r="1912" spans="1:2" ht="18" x14ac:dyDescent="0.2">
      <c r="A1912" s="163">
        <v>43391</v>
      </c>
      <c r="B1912" s="162">
        <v>73.400000000000006</v>
      </c>
    </row>
    <row r="1913" spans="1:2" ht="18" x14ac:dyDescent="0.2">
      <c r="A1913" s="163">
        <v>43390</v>
      </c>
      <c r="B1913" s="162">
        <v>75.42</v>
      </c>
    </row>
    <row r="1914" spans="1:2" ht="18" x14ac:dyDescent="0.2">
      <c r="A1914" s="163">
        <v>43389</v>
      </c>
      <c r="B1914" s="162">
        <v>75.45</v>
      </c>
    </row>
    <row r="1915" spans="1:2" ht="18" x14ac:dyDescent="0.2">
      <c r="A1915" s="163">
        <v>43388</v>
      </c>
      <c r="B1915" s="162">
        <v>72.63</v>
      </c>
    </row>
    <row r="1916" spans="1:2" ht="18" x14ac:dyDescent="0.2">
      <c r="A1916" s="163">
        <v>43385</v>
      </c>
      <c r="B1916" s="162">
        <v>72.680000000000007</v>
      </c>
    </row>
    <row r="1917" spans="1:2" ht="18" x14ac:dyDescent="0.2">
      <c r="A1917" s="163">
        <v>43384</v>
      </c>
      <c r="B1917" s="162">
        <v>71.39</v>
      </c>
    </row>
    <row r="1918" spans="1:2" ht="18" x14ac:dyDescent="0.2">
      <c r="A1918" s="163">
        <v>43383</v>
      </c>
      <c r="B1918" s="162">
        <v>70.290000000000006</v>
      </c>
    </row>
    <row r="1919" spans="1:2" ht="18" x14ac:dyDescent="0.2">
      <c r="A1919" s="163">
        <v>43382</v>
      </c>
      <c r="B1919" s="162">
        <v>74.34</v>
      </c>
    </row>
    <row r="1920" spans="1:2" ht="18" x14ac:dyDescent="0.2">
      <c r="A1920" s="163">
        <v>43381</v>
      </c>
      <c r="B1920" s="162">
        <v>72.98</v>
      </c>
    </row>
    <row r="1921" spans="1:2" ht="18" x14ac:dyDescent="0.2">
      <c r="A1921" s="163">
        <v>43378</v>
      </c>
      <c r="B1921" s="162">
        <v>72.69</v>
      </c>
    </row>
    <row r="1922" spans="1:2" ht="18" x14ac:dyDescent="0.2">
      <c r="A1922" s="163">
        <v>43377</v>
      </c>
      <c r="B1922" s="162">
        <v>76.17</v>
      </c>
    </row>
    <row r="1923" spans="1:2" ht="18" x14ac:dyDescent="0.2">
      <c r="A1923" s="163">
        <v>43376</v>
      </c>
      <c r="B1923" s="162">
        <v>76.25</v>
      </c>
    </row>
    <row r="1924" spans="1:2" ht="18" x14ac:dyDescent="0.2">
      <c r="A1924" s="163">
        <v>43375</v>
      </c>
      <c r="B1924" s="162">
        <v>77.290000000000006</v>
      </c>
    </row>
    <row r="1925" spans="1:2" ht="18" x14ac:dyDescent="0.2">
      <c r="A1925" s="163">
        <v>43374</v>
      </c>
      <c r="B1925" s="162">
        <v>77.099999999999994</v>
      </c>
    </row>
    <row r="1926" spans="1:2" ht="18" x14ac:dyDescent="0.2">
      <c r="A1926" s="163">
        <v>43371</v>
      </c>
      <c r="B1926" s="162">
        <v>76.89</v>
      </c>
    </row>
    <row r="1927" spans="1:2" ht="18" x14ac:dyDescent="0.2">
      <c r="A1927" s="163">
        <v>43370</v>
      </c>
      <c r="B1927" s="162">
        <v>74.72</v>
      </c>
    </row>
    <row r="1928" spans="1:2" ht="18" x14ac:dyDescent="0.2">
      <c r="A1928" s="163">
        <v>43369</v>
      </c>
      <c r="B1928" s="162">
        <v>75.06</v>
      </c>
    </row>
    <row r="1929" spans="1:2" ht="18" x14ac:dyDescent="0.2">
      <c r="A1929" s="163">
        <v>43368</v>
      </c>
      <c r="B1929" s="162">
        <v>76.25</v>
      </c>
    </row>
    <row r="1930" spans="1:2" ht="18" x14ac:dyDescent="0.2">
      <c r="A1930" s="163">
        <v>43367</v>
      </c>
      <c r="B1930" s="162">
        <v>78.45</v>
      </c>
    </row>
    <row r="1931" spans="1:2" ht="18" x14ac:dyDescent="0.2">
      <c r="A1931" s="163">
        <v>43364</v>
      </c>
      <c r="B1931" s="162">
        <v>78.62</v>
      </c>
    </row>
    <row r="1932" spans="1:2" ht="18" x14ac:dyDescent="0.2">
      <c r="A1932" s="163">
        <v>43363</v>
      </c>
      <c r="B1932" s="162">
        <v>78.67</v>
      </c>
    </row>
    <row r="1933" spans="1:2" ht="18" x14ac:dyDescent="0.2">
      <c r="A1933" s="163">
        <v>43362</v>
      </c>
      <c r="B1933" s="162">
        <v>76.81</v>
      </c>
    </row>
    <row r="1934" spans="1:2" ht="18" x14ac:dyDescent="0.2">
      <c r="A1934" s="163">
        <v>43361</v>
      </c>
      <c r="B1934" s="162">
        <v>75.040000000000006</v>
      </c>
    </row>
    <row r="1935" spans="1:2" ht="18" x14ac:dyDescent="0.2">
      <c r="A1935" s="163">
        <v>43360</v>
      </c>
      <c r="B1935" s="162">
        <v>73.97</v>
      </c>
    </row>
    <row r="1936" spans="1:2" ht="18" x14ac:dyDescent="0.2">
      <c r="A1936" s="163">
        <v>43357</v>
      </c>
      <c r="B1936" s="162">
        <v>75.739999999999995</v>
      </c>
    </row>
    <row r="1937" spans="1:2" ht="18" x14ac:dyDescent="0.2">
      <c r="A1937" s="163">
        <v>43356</v>
      </c>
      <c r="B1937" s="162">
        <v>75.3</v>
      </c>
    </row>
    <row r="1938" spans="1:2" ht="18" x14ac:dyDescent="0.2">
      <c r="A1938" s="163">
        <v>43355</v>
      </c>
      <c r="B1938" s="162">
        <v>73.459999999999994</v>
      </c>
    </row>
    <row r="1939" spans="1:2" ht="18" x14ac:dyDescent="0.2">
      <c r="A1939" s="163">
        <v>43354</v>
      </c>
      <c r="B1939" s="162">
        <v>73.37</v>
      </c>
    </row>
    <row r="1940" spans="1:2" ht="18" x14ac:dyDescent="0.2">
      <c r="A1940" s="163">
        <v>43353</v>
      </c>
      <c r="B1940" s="162">
        <v>73.98</v>
      </c>
    </row>
    <row r="1941" spans="1:2" ht="18" x14ac:dyDescent="0.2">
      <c r="A1941" s="163">
        <v>43350</v>
      </c>
      <c r="B1941" s="162">
        <v>74.95</v>
      </c>
    </row>
    <row r="1942" spans="1:2" ht="18" x14ac:dyDescent="0.2">
      <c r="A1942" s="163">
        <v>43349</v>
      </c>
      <c r="B1942" s="162">
        <v>75.13</v>
      </c>
    </row>
    <row r="1943" spans="1:2" ht="18" x14ac:dyDescent="0.2">
      <c r="A1943" s="163">
        <v>43348</v>
      </c>
      <c r="B1943" s="162">
        <v>79.680000000000007</v>
      </c>
    </row>
    <row r="1944" spans="1:2" ht="18" x14ac:dyDescent="0.2">
      <c r="A1944" s="163">
        <v>43347</v>
      </c>
      <c r="B1944" s="162">
        <v>80.28</v>
      </c>
    </row>
    <row r="1945" spans="1:2" ht="18" x14ac:dyDescent="0.2">
      <c r="A1945" s="163">
        <v>43343</v>
      </c>
      <c r="B1945" s="162">
        <v>80.09</v>
      </c>
    </row>
    <row r="1946" spans="1:2" ht="18" x14ac:dyDescent="0.2">
      <c r="A1946" s="163">
        <v>43342</v>
      </c>
      <c r="B1946" s="162">
        <v>79.400000000000006</v>
      </c>
    </row>
    <row r="1947" spans="1:2" ht="18" x14ac:dyDescent="0.2">
      <c r="A1947" s="163">
        <v>43341</v>
      </c>
      <c r="B1947" s="162">
        <v>80.290000000000006</v>
      </c>
    </row>
    <row r="1948" spans="1:2" ht="18" x14ac:dyDescent="0.2">
      <c r="A1948" s="163">
        <v>43340</v>
      </c>
      <c r="B1948" s="162">
        <v>79.83</v>
      </c>
    </row>
    <row r="1949" spans="1:2" ht="18" x14ac:dyDescent="0.2">
      <c r="A1949" s="163">
        <v>43339</v>
      </c>
      <c r="B1949" s="162">
        <v>79.59</v>
      </c>
    </row>
    <row r="1950" spans="1:2" ht="18" x14ac:dyDescent="0.2">
      <c r="A1950" s="163">
        <v>43336</v>
      </c>
      <c r="B1950" s="162">
        <v>79.63</v>
      </c>
    </row>
    <row r="1951" spans="1:2" ht="18" x14ac:dyDescent="0.2">
      <c r="A1951" s="163">
        <v>43335</v>
      </c>
      <c r="B1951" s="162">
        <v>79.2</v>
      </c>
    </row>
    <row r="1952" spans="1:2" ht="18" x14ac:dyDescent="0.2">
      <c r="A1952" s="163">
        <v>43334</v>
      </c>
      <c r="B1952" s="162">
        <v>80.62</v>
      </c>
    </row>
    <row r="1953" spans="1:2" ht="18" x14ac:dyDescent="0.2">
      <c r="A1953" s="163">
        <v>43333</v>
      </c>
      <c r="B1953" s="162">
        <v>81.099999999999994</v>
      </c>
    </row>
    <row r="1954" spans="1:2" ht="18" x14ac:dyDescent="0.2">
      <c r="A1954" s="163">
        <v>43332</v>
      </c>
      <c r="B1954" s="162">
        <v>78.180000000000007</v>
      </c>
    </row>
    <row r="1955" spans="1:2" ht="18" x14ac:dyDescent="0.2">
      <c r="A1955" s="163">
        <v>43329</v>
      </c>
      <c r="B1955" s="162">
        <v>81.5</v>
      </c>
    </row>
    <row r="1956" spans="1:2" ht="18" x14ac:dyDescent="0.2">
      <c r="A1956" s="163">
        <v>43328</v>
      </c>
      <c r="B1956" s="162">
        <v>82.16</v>
      </c>
    </row>
    <row r="1957" spans="1:2" ht="18" x14ac:dyDescent="0.2">
      <c r="A1957" s="163">
        <v>43327</v>
      </c>
      <c r="B1957" s="162">
        <v>81.95</v>
      </c>
    </row>
    <row r="1958" spans="1:2" ht="18" x14ac:dyDescent="0.2">
      <c r="A1958" s="163">
        <v>43326</v>
      </c>
      <c r="B1958" s="162">
        <v>82.79</v>
      </c>
    </row>
    <row r="1959" spans="1:2" ht="18" x14ac:dyDescent="0.2">
      <c r="A1959" s="163">
        <v>43325</v>
      </c>
      <c r="B1959" s="162">
        <v>83.11</v>
      </c>
    </row>
    <row r="1960" spans="1:2" ht="18" x14ac:dyDescent="0.2">
      <c r="A1960" s="163">
        <v>43322</v>
      </c>
      <c r="B1960" s="162">
        <v>83.19</v>
      </c>
    </row>
    <row r="1961" spans="1:2" ht="18" x14ac:dyDescent="0.2">
      <c r="A1961" s="163">
        <v>43321</v>
      </c>
      <c r="B1961" s="162">
        <v>85.51</v>
      </c>
    </row>
    <row r="1962" spans="1:2" ht="18" x14ac:dyDescent="0.2">
      <c r="A1962" s="163">
        <v>43320</v>
      </c>
      <c r="B1962" s="162">
        <v>85.55</v>
      </c>
    </row>
    <row r="1963" spans="1:2" ht="18" x14ac:dyDescent="0.2">
      <c r="A1963" s="163">
        <v>43319</v>
      </c>
      <c r="B1963" s="162">
        <v>86.06</v>
      </c>
    </row>
    <row r="1964" spans="1:2" ht="18" x14ac:dyDescent="0.2">
      <c r="A1964" s="163">
        <v>43318</v>
      </c>
      <c r="B1964" s="162">
        <v>85.2</v>
      </c>
    </row>
    <row r="1965" spans="1:2" ht="18" x14ac:dyDescent="0.2">
      <c r="A1965" s="163">
        <v>43315</v>
      </c>
      <c r="B1965" s="162">
        <v>84.18</v>
      </c>
    </row>
    <row r="1966" spans="1:2" ht="18" x14ac:dyDescent="0.2">
      <c r="A1966" s="163">
        <v>43314</v>
      </c>
      <c r="B1966" s="162">
        <v>84.41</v>
      </c>
    </row>
    <row r="1967" spans="1:2" ht="18" x14ac:dyDescent="0.2">
      <c r="A1967" s="163">
        <v>43313</v>
      </c>
      <c r="B1967" s="162">
        <v>82.18</v>
      </c>
    </row>
    <row r="1968" spans="1:2" ht="18" x14ac:dyDescent="0.2">
      <c r="A1968" s="163">
        <v>43312</v>
      </c>
      <c r="B1968" s="162">
        <v>81.760000000000005</v>
      </c>
    </row>
    <row r="1969" spans="1:2" ht="18" x14ac:dyDescent="0.2">
      <c r="A1969" s="163">
        <v>43311</v>
      </c>
      <c r="B1969" s="162">
        <v>80.83</v>
      </c>
    </row>
    <row r="1970" spans="1:2" ht="18" x14ac:dyDescent="0.2">
      <c r="A1970" s="163">
        <v>43308</v>
      </c>
      <c r="B1970" s="162">
        <v>81.72</v>
      </c>
    </row>
    <row r="1971" spans="1:2" ht="18" x14ac:dyDescent="0.2">
      <c r="A1971" s="163">
        <v>43307</v>
      </c>
      <c r="B1971" s="162">
        <v>82.2</v>
      </c>
    </row>
    <row r="1972" spans="1:2" ht="18" x14ac:dyDescent="0.2">
      <c r="A1972" s="163">
        <v>43306</v>
      </c>
      <c r="B1972" s="162">
        <v>81.25</v>
      </c>
    </row>
    <row r="1973" spans="1:2" ht="18" x14ac:dyDescent="0.2">
      <c r="A1973" s="163">
        <v>43305</v>
      </c>
      <c r="B1973" s="162">
        <v>81.22</v>
      </c>
    </row>
    <row r="1974" spans="1:2" ht="18" x14ac:dyDescent="0.2">
      <c r="A1974" s="163">
        <v>43304</v>
      </c>
      <c r="B1974" s="162">
        <v>82.54</v>
      </c>
    </row>
    <row r="1975" spans="1:2" ht="18" x14ac:dyDescent="0.2">
      <c r="A1975" s="163">
        <v>43301</v>
      </c>
      <c r="B1975" s="162">
        <v>81.2</v>
      </c>
    </row>
    <row r="1976" spans="1:2" ht="18" x14ac:dyDescent="0.2">
      <c r="A1976" s="163">
        <v>43300</v>
      </c>
      <c r="B1976" s="162">
        <v>83.76</v>
      </c>
    </row>
    <row r="1977" spans="1:2" ht="18" x14ac:dyDescent="0.2">
      <c r="A1977" s="163">
        <v>43299</v>
      </c>
      <c r="B1977" s="162">
        <v>82.4</v>
      </c>
    </row>
    <row r="1978" spans="1:2" ht="18" x14ac:dyDescent="0.2">
      <c r="A1978" s="163">
        <v>43298</v>
      </c>
      <c r="B1978" s="162">
        <v>82.72</v>
      </c>
    </row>
    <row r="1979" spans="1:2" ht="18" x14ac:dyDescent="0.2">
      <c r="A1979" s="163">
        <v>43297</v>
      </c>
      <c r="B1979" s="162">
        <v>81.33</v>
      </c>
    </row>
    <row r="1980" spans="1:2" ht="18" x14ac:dyDescent="0.2">
      <c r="A1980" s="163">
        <v>43294</v>
      </c>
      <c r="B1980" s="162">
        <v>81.37</v>
      </c>
    </row>
    <row r="1981" spans="1:2" ht="18" x14ac:dyDescent="0.2">
      <c r="A1981" s="163">
        <v>43293</v>
      </c>
      <c r="B1981" s="162">
        <v>81.98</v>
      </c>
    </row>
    <row r="1982" spans="1:2" ht="18" x14ac:dyDescent="0.2">
      <c r="A1982" s="163">
        <v>43292</v>
      </c>
      <c r="B1982" s="162">
        <v>80.260000000000005</v>
      </c>
    </row>
    <row r="1983" spans="1:2" ht="18" x14ac:dyDescent="0.2">
      <c r="A1983" s="163">
        <v>43291</v>
      </c>
      <c r="B1983" s="162">
        <v>83.29</v>
      </c>
    </row>
    <row r="1984" spans="1:2" ht="18" x14ac:dyDescent="0.2">
      <c r="A1984" s="163">
        <v>43290</v>
      </c>
      <c r="B1984" s="162">
        <v>82.58</v>
      </c>
    </row>
    <row r="1985" spans="1:2" ht="18" x14ac:dyDescent="0.2">
      <c r="A1985" s="163">
        <v>43287</v>
      </c>
      <c r="B1985" s="162">
        <v>81.53</v>
      </c>
    </row>
    <row r="1986" spans="1:2" ht="18" x14ac:dyDescent="0.2">
      <c r="A1986" s="163">
        <v>43286</v>
      </c>
      <c r="B1986" s="162">
        <v>81.819999999999993</v>
      </c>
    </row>
    <row r="1987" spans="1:2" ht="18" x14ac:dyDescent="0.2">
      <c r="A1987" s="163">
        <v>43284</v>
      </c>
      <c r="B1987" s="162">
        <v>77.44</v>
      </c>
    </row>
    <row r="1988" spans="1:2" ht="18" x14ac:dyDescent="0.2">
      <c r="A1988" s="163">
        <v>43283</v>
      </c>
      <c r="B1988" s="162">
        <v>80.099999999999994</v>
      </c>
    </row>
    <row r="1989" spans="1:2" ht="18" x14ac:dyDescent="0.2">
      <c r="A1989" s="163">
        <v>43280</v>
      </c>
      <c r="B1989" s="162">
        <v>80.17</v>
      </c>
    </row>
    <row r="1990" spans="1:2" ht="18" x14ac:dyDescent="0.2">
      <c r="A1990" s="163">
        <v>43279</v>
      </c>
      <c r="B1990" s="162">
        <v>80.48</v>
      </c>
    </row>
    <row r="1991" spans="1:2" ht="18" x14ac:dyDescent="0.2">
      <c r="A1991" s="163">
        <v>43278</v>
      </c>
      <c r="B1991" s="162">
        <v>79.89</v>
      </c>
    </row>
    <row r="1992" spans="1:2" ht="18" x14ac:dyDescent="0.2">
      <c r="A1992" s="163">
        <v>43277</v>
      </c>
      <c r="B1992" s="162">
        <v>81.72</v>
      </c>
    </row>
    <row r="1993" spans="1:2" ht="18" x14ac:dyDescent="0.2">
      <c r="A1993" s="163">
        <v>43276</v>
      </c>
      <c r="B1993" s="162">
        <v>80.36</v>
      </c>
    </row>
    <row r="1994" spans="1:2" ht="18" x14ac:dyDescent="0.2">
      <c r="A1994" s="163">
        <v>43273</v>
      </c>
      <c r="B1994" s="162">
        <v>82.05</v>
      </c>
    </row>
    <row r="1995" spans="1:2" ht="18" x14ac:dyDescent="0.2">
      <c r="A1995" s="163">
        <v>43272</v>
      </c>
      <c r="B1995" s="162">
        <v>82.23</v>
      </c>
    </row>
    <row r="1996" spans="1:2" ht="18" x14ac:dyDescent="0.2">
      <c r="A1996" s="163">
        <v>43271</v>
      </c>
      <c r="B1996" s="162">
        <v>83.46</v>
      </c>
    </row>
    <row r="1997" spans="1:2" ht="18" x14ac:dyDescent="0.2">
      <c r="A1997" s="163">
        <v>43270</v>
      </c>
      <c r="B1997" s="162">
        <v>83.51</v>
      </c>
    </row>
    <row r="1998" spans="1:2" ht="18" x14ac:dyDescent="0.2">
      <c r="A1998" s="163">
        <v>43269</v>
      </c>
      <c r="B1998" s="162">
        <v>85.79</v>
      </c>
    </row>
    <row r="1999" spans="1:2" ht="18" x14ac:dyDescent="0.2">
      <c r="A1999" s="163">
        <v>43266</v>
      </c>
      <c r="B1999" s="162">
        <v>85.12</v>
      </c>
    </row>
    <row r="2000" spans="1:2" ht="18" x14ac:dyDescent="0.2">
      <c r="A2000" s="163">
        <v>43265</v>
      </c>
      <c r="B2000" s="162">
        <v>83.65</v>
      </c>
    </row>
    <row r="2001" spans="1:2" ht="18" x14ac:dyDescent="0.2">
      <c r="A2001" s="163">
        <v>43264</v>
      </c>
      <c r="B2001" s="162">
        <v>80.400000000000006</v>
      </c>
    </row>
    <row r="2002" spans="1:2" ht="18" x14ac:dyDescent="0.2">
      <c r="A2002" s="163">
        <v>43263</v>
      </c>
      <c r="B2002" s="162">
        <v>80.73</v>
      </c>
    </row>
    <row r="2003" spans="1:2" ht="18" x14ac:dyDescent="0.2">
      <c r="A2003" s="163">
        <v>43262</v>
      </c>
      <c r="B2003" s="162">
        <v>79.83</v>
      </c>
    </row>
    <row r="2004" spans="1:2" ht="18" x14ac:dyDescent="0.2">
      <c r="A2004" s="163">
        <v>43259</v>
      </c>
      <c r="B2004" s="162">
        <v>80.16</v>
      </c>
    </row>
    <row r="2005" spans="1:2" ht="18" x14ac:dyDescent="0.2">
      <c r="A2005" s="163">
        <v>43258</v>
      </c>
      <c r="B2005" s="162">
        <v>81.040000000000006</v>
      </c>
    </row>
    <row r="2006" spans="1:2" ht="18" x14ac:dyDescent="0.2">
      <c r="A2006" s="163">
        <v>43257</v>
      </c>
      <c r="B2006" s="162">
        <v>80.09</v>
      </c>
    </row>
    <row r="2007" spans="1:2" ht="18" x14ac:dyDescent="0.2">
      <c r="A2007" s="163">
        <v>43256</v>
      </c>
      <c r="B2007" s="162">
        <v>81.72</v>
      </c>
    </row>
    <row r="2008" spans="1:2" ht="18" x14ac:dyDescent="0.2">
      <c r="A2008" s="163">
        <v>43255</v>
      </c>
      <c r="B2008" s="162">
        <v>81.69</v>
      </c>
    </row>
    <row r="2009" spans="1:2" ht="18" x14ac:dyDescent="0.2">
      <c r="A2009" s="163">
        <v>43252</v>
      </c>
      <c r="B2009" s="162">
        <v>81.81</v>
      </c>
    </row>
    <row r="2010" spans="1:2" ht="18" x14ac:dyDescent="0.2">
      <c r="A2010" s="163">
        <v>43251</v>
      </c>
      <c r="B2010" s="162">
        <v>80.25</v>
      </c>
    </row>
    <row r="2011" spans="1:2" ht="18" x14ac:dyDescent="0.2">
      <c r="A2011" s="163">
        <v>43250</v>
      </c>
      <c r="B2011" s="162">
        <v>80.930000000000007</v>
      </c>
    </row>
    <row r="2012" spans="1:2" ht="18" x14ac:dyDescent="0.2">
      <c r="A2012" s="163">
        <v>43249</v>
      </c>
      <c r="B2012" s="162">
        <v>79.94</v>
      </c>
    </row>
    <row r="2013" spans="1:2" ht="18" x14ac:dyDescent="0.2">
      <c r="A2013" s="163">
        <v>43245</v>
      </c>
      <c r="B2013" s="162">
        <v>81.489999999999995</v>
      </c>
    </row>
    <row r="2014" spans="1:2" ht="18" x14ac:dyDescent="0.2">
      <c r="A2014" s="163">
        <v>43244</v>
      </c>
      <c r="B2014" s="162">
        <v>81.23</v>
      </c>
    </row>
    <row r="2015" spans="1:2" ht="18" x14ac:dyDescent="0.2">
      <c r="A2015" s="163">
        <v>43243</v>
      </c>
      <c r="B2015" s="162">
        <v>81.3</v>
      </c>
    </row>
    <row r="2016" spans="1:2" ht="18" x14ac:dyDescent="0.2">
      <c r="A2016" s="163">
        <v>43242</v>
      </c>
      <c r="B2016" s="162">
        <v>80.78</v>
      </c>
    </row>
    <row r="2017" spans="1:2" ht="18" x14ac:dyDescent="0.2">
      <c r="A2017" s="163">
        <v>43241</v>
      </c>
      <c r="B2017" s="162">
        <v>81.150000000000006</v>
      </c>
    </row>
    <row r="2018" spans="1:2" ht="18" x14ac:dyDescent="0.2">
      <c r="A2018" s="163">
        <v>43238</v>
      </c>
      <c r="B2018" s="162">
        <v>79.59</v>
      </c>
    </row>
    <row r="2019" spans="1:2" ht="18" x14ac:dyDescent="0.2">
      <c r="A2019" s="163">
        <v>43237</v>
      </c>
      <c r="B2019" s="162">
        <v>80.61</v>
      </c>
    </row>
    <row r="2020" spans="1:2" ht="18" x14ac:dyDescent="0.2">
      <c r="A2020" s="163">
        <v>43236</v>
      </c>
      <c r="B2020" s="162">
        <v>81.05</v>
      </c>
    </row>
    <row r="2021" spans="1:2" ht="18" x14ac:dyDescent="0.2">
      <c r="A2021" s="163">
        <v>43235</v>
      </c>
      <c r="B2021" s="162">
        <v>80.099999999999994</v>
      </c>
    </row>
    <row r="2022" spans="1:2" ht="18" x14ac:dyDescent="0.2">
      <c r="A2022" s="163">
        <v>43234</v>
      </c>
      <c r="B2022" s="162">
        <v>81.67</v>
      </c>
    </row>
    <row r="2023" spans="1:2" ht="18" x14ac:dyDescent="0.2">
      <c r="A2023" s="163">
        <v>43231</v>
      </c>
      <c r="B2023" s="162">
        <v>81.64</v>
      </c>
    </row>
    <row r="2024" spans="1:2" ht="18" x14ac:dyDescent="0.2">
      <c r="A2024" s="163">
        <v>43230</v>
      </c>
      <c r="B2024" s="162">
        <v>81.99</v>
      </c>
    </row>
    <row r="2025" spans="1:2" ht="18" x14ac:dyDescent="0.2">
      <c r="A2025" s="163">
        <v>43229</v>
      </c>
      <c r="B2025" s="162">
        <v>80.209999999999994</v>
      </c>
    </row>
    <row r="2026" spans="1:2" ht="18" x14ac:dyDescent="0.2">
      <c r="A2026" s="163">
        <v>43228</v>
      </c>
      <c r="B2026" s="162">
        <v>79.89</v>
      </c>
    </row>
    <row r="2027" spans="1:2" ht="18" x14ac:dyDescent="0.2">
      <c r="A2027" s="163">
        <v>43227</v>
      </c>
      <c r="B2027" s="162">
        <v>79.64</v>
      </c>
    </row>
    <row r="2028" spans="1:2" ht="18" x14ac:dyDescent="0.2">
      <c r="A2028" s="163">
        <v>43224</v>
      </c>
      <c r="B2028" s="162">
        <v>79.489999999999995</v>
      </c>
    </row>
    <row r="2029" spans="1:2" ht="18" x14ac:dyDescent="0.2">
      <c r="A2029" s="163">
        <v>43223</v>
      </c>
      <c r="B2029" s="162">
        <v>76.73</v>
      </c>
    </row>
    <row r="2030" spans="1:2" ht="18" x14ac:dyDescent="0.2">
      <c r="A2030" s="163">
        <v>43222</v>
      </c>
      <c r="B2030" s="162">
        <v>74.239999999999995</v>
      </c>
    </row>
    <row r="2031" spans="1:2" ht="18" x14ac:dyDescent="0.2">
      <c r="A2031" s="163">
        <v>43221</v>
      </c>
      <c r="B2031" s="162">
        <v>71.8</v>
      </c>
    </row>
    <row r="2032" spans="1:2" ht="18" x14ac:dyDescent="0.2">
      <c r="A2032" s="163">
        <v>43220</v>
      </c>
      <c r="B2032" s="162">
        <v>67.400000000000006</v>
      </c>
    </row>
    <row r="2033" spans="1:2" ht="18" x14ac:dyDescent="0.2">
      <c r="A2033" s="163">
        <v>43217</v>
      </c>
      <c r="B2033" s="162">
        <v>67.38</v>
      </c>
    </row>
    <row r="2034" spans="1:2" ht="18" x14ac:dyDescent="0.2">
      <c r="A2034" s="163">
        <v>43216</v>
      </c>
      <c r="B2034" s="162">
        <v>68.48</v>
      </c>
    </row>
    <row r="2035" spans="1:2" ht="18" x14ac:dyDescent="0.2">
      <c r="A2035" s="163">
        <v>43215</v>
      </c>
      <c r="B2035" s="162">
        <v>67.66</v>
      </c>
    </row>
    <row r="2036" spans="1:2" ht="18" x14ac:dyDescent="0.2">
      <c r="A2036" s="163">
        <v>43214</v>
      </c>
      <c r="B2036" s="162">
        <v>68.06</v>
      </c>
    </row>
    <row r="2037" spans="1:2" ht="18" x14ac:dyDescent="0.2">
      <c r="A2037" s="163">
        <v>43213</v>
      </c>
      <c r="B2037" s="162">
        <v>68.680000000000007</v>
      </c>
    </row>
    <row r="2038" spans="1:2" ht="18" x14ac:dyDescent="0.2">
      <c r="A2038" s="163">
        <v>43210</v>
      </c>
      <c r="B2038" s="162">
        <v>69.88</v>
      </c>
    </row>
    <row r="2039" spans="1:2" ht="18" x14ac:dyDescent="0.2">
      <c r="A2039" s="163">
        <v>43209</v>
      </c>
      <c r="B2039" s="162">
        <v>70.63</v>
      </c>
    </row>
    <row r="2040" spans="1:2" ht="18" x14ac:dyDescent="0.2">
      <c r="A2040" s="163">
        <v>43208</v>
      </c>
      <c r="B2040" s="162">
        <v>73.12</v>
      </c>
    </row>
    <row r="2041" spans="1:2" ht="18" x14ac:dyDescent="0.2">
      <c r="A2041" s="163">
        <v>43207</v>
      </c>
      <c r="B2041" s="162">
        <v>73.47</v>
      </c>
    </row>
    <row r="2042" spans="1:2" ht="18" x14ac:dyDescent="0.2">
      <c r="A2042" s="163">
        <v>43206</v>
      </c>
      <c r="B2042" s="162">
        <v>72.28</v>
      </c>
    </row>
    <row r="2043" spans="1:2" ht="18" x14ac:dyDescent="0.2">
      <c r="A2043" s="163">
        <v>43203</v>
      </c>
      <c r="B2043" s="162">
        <v>72.55</v>
      </c>
    </row>
    <row r="2044" spans="1:2" ht="18" x14ac:dyDescent="0.2">
      <c r="A2044" s="163">
        <v>43202</v>
      </c>
      <c r="B2044" s="162">
        <v>72.510000000000005</v>
      </c>
    </row>
    <row r="2045" spans="1:2" ht="18" x14ac:dyDescent="0.2">
      <c r="A2045" s="163">
        <v>43201</v>
      </c>
      <c r="B2045" s="162">
        <v>72.2</v>
      </c>
    </row>
    <row r="2046" spans="1:2" ht="18" x14ac:dyDescent="0.2">
      <c r="A2046" s="163">
        <v>43200</v>
      </c>
      <c r="B2046" s="162">
        <v>71.239999999999995</v>
      </c>
    </row>
    <row r="2047" spans="1:2" ht="18" x14ac:dyDescent="0.2">
      <c r="A2047" s="163">
        <v>43199</v>
      </c>
      <c r="B2047" s="162">
        <v>69.59</v>
      </c>
    </row>
    <row r="2048" spans="1:2" ht="18" x14ac:dyDescent="0.2">
      <c r="A2048" s="163">
        <v>43196</v>
      </c>
      <c r="B2048" s="162">
        <v>69.72</v>
      </c>
    </row>
    <row r="2049" spans="1:2" ht="18" x14ac:dyDescent="0.2">
      <c r="A2049" s="163">
        <v>43195</v>
      </c>
      <c r="B2049" s="162">
        <v>71.41</v>
      </c>
    </row>
    <row r="2050" spans="1:2" ht="18" x14ac:dyDescent="0.2">
      <c r="A2050" s="163">
        <v>43194</v>
      </c>
      <c r="B2050" s="162">
        <v>71.510000000000005</v>
      </c>
    </row>
    <row r="2051" spans="1:2" ht="18" x14ac:dyDescent="0.2">
      <c r="A2051" s="163">
        <v>43193</v>
      </c>
      <c r="B2051" s="162">
        <v>69.709999999999994</v>
      </c>
    </row>
    <row r="2052" spans="1:2" ht="18" x14ac:dyDescent="0.2">
      <c r="A2052" s="163">
        <v>43192</v>
      </c>
      <c r="B2052" s="162">
        <v>68.53</v>
      </c>
    </row>
    <row r="2053" spans="1:2" ht="18" x14ac:dyDescent="0.2">
      <c r="A2053" s="163">
        <v>43188</v>
      </c>
      <c r="B2053" s="162">
        <v>70.45</v>
      </c>
    </row>
    <row r="2054" spans="1:2" ht="18" x14ac:dyDescent="0.2">
      <c r="A2054" s="163">
        <v>43187</v>
      </c>
      <c r="B2054" s="162">
        <v>68.540000000000006</v>
      </c>
    </row>
    <row r="2055" spans="1:2" ht="18" x14ac:dyDescent="0.2">
      <c r="A2055" s="163">
        <v>43186</v>
      </c>
      <c r="B2055" s="162">
        <v>70.23</v>
      </c>
    </row>
    <row r="2056" spans="1:2" ht="18" x14ac:dyDescent="0.2">
      <c r="A2056" s="163">
        <v>43185</v>
      </c>
      <c r="B2056" s="162">
        <v>73.34</v>
      </c>
    </row>
    <row r="2057" spans="1:2" ht="18" x14ac:dyDescent="0.2">
      <c r="A2057" s="163">
        <v>43182</v>
      </c>
      <c r="B2057" s="162">
        <v>71.55</v>
      </c>
    </row>
    <row r="2058" spans="1:2" ht="18" x14ac:dyDescent="0.2">
      <c r="A2058" s="163">
        <v>43181</v>
      </c>
      <c r="B2058" s="162">
        <v>72.650000000000006</v>
      </c>
    </row>
    <row r="2059" spans="1:2" ht="18" x14ac:dyDescent="0.2">
      <c r="A2059" s="163">
        <v>43180</v>
      </c>
      <c r="B2059" s="162">
        <v>74.180000000000007</v>
      </c>
    </row>
    <row r="2060" spans="1:2" ht="18" x14ac:dyDescent="0.2">
      <c r="A2060" s="163">
        <v>43179</v>
      </c>
      <c r="B2060" s="162">
        <v>75.069999999999993</v>
      </c>
    </row>
    <row r="2061" spans="1:2" ht="18" x14ac:dyDescent="0.2">
      <c r="A2061" s="163">
        <v>43178</v>
      </c>
      <c r="B2061" s="162">
        <v>78.42</v>
      </c>
    </row>
    <row r="2062" spans="1:2" ht="18" x14ac:dyDescent="0.2">
      <c r="A2062" s="163">
        <v>43175</v>
      </c>
      <c r="B2062" s="162">
        <v>80.75</v>
      </c>
    </row>
    <row r="2063" spans="1:2" ht="18" x14ac:dyDescent="0.2">
      <c r="A2063" s="163">
        <v>43174</v>
      </c>
      <c r="B2063" s="162">
        <v>79</v>
      </c>
    </row>
    <row r="2064" spans="1:2" ht="18" x14ac:dyDescent="0.2">
      <c r="A2064" s="163">
        <v>43173</v>
      </c>
      <c r="B2064" s="162">
        <v>82.22</v>
      </c>
    </row>
    <row r="2065" spans="1:2" ht="18" x14ac:dyDescent="0.2">
      <c r="A2065" s="163">
        <v>43172</v>
      </c>
      <c r="B2065" s="162">
        <v>83.42</v>
      </c>
    </row>
    <row r="2066" spans="1:2" ht="18" x14ac:dyDescent="0.2">
      <c r="A2066" s="163">
        <v>43171</v>
      </c>
      <c r="B2066" s="162">
        <v>86.39</v>
      </c>
    </row>
    <row r="2067" spans="1:2" ht="18" x14ac:dyDescent="0.2">
      <c r="A2067" s="163">
        <v>43168</v>
      </c>
      <c r="B2067" s="162">
        <v>85.51</v>
      </c>
    </row>
    <row r="2068" spans="1:2" ht="18" x14ac:dyDescent="0.2">
      <c r="A2068" s="163">
        <v>43167</v>
      </c>
      <c r="B2068" s="162">
        <v>84.23</v>
      </c>
    </row>
    <row r="2069" spans="1:2" ht="18" x14ac:dyDescent="0.2">
      <c r="A2069" s="163">
        <v>43166</v>
      </c>
      <c r="B2069" s="162">
        <v>83.32</v>
      </c>
    </row>
    <row r="2070" spans="1:2" ht="18" x14ac:dyDescent="0.2">
      <c r="A2070" s="163">
        <v>43165</v>
      </c>
      <c r="B2070" s="162">
        <v>83.68</v>
      </c>
    </row>
    <row r="2071" spans="1:2" ht="18" x14ac:dyDescent="0.2">
      <c r="A2071" s="163">
        <v>43164</v>
      </c>
      <c r="B2071" s="162">
        <v>83.19</v>
      </c>
    </row>
    <row r="2072" spans="1:2" ht="18" x14ac:dyDescent="0.2">
      <c r="A2072" s="163">
        <v>43161</v>
      </c>
      <c r="B2072" s="162">
        <v>81.13</v>
      </c>
    </row>
    <row r="2073" spans="1:2" ht="18" x14ac:dyDescent="0.2">
      <c r="A2073" s="163">
        <v>43160</v>
      </c>
      <c r="B2073" s="162">
        <v>78.61</v>
      </c>
    </row>
    <row r="2074" spans="1:2" ht="18" x14ac:dyDescent="0.2">
      <c r="A2074" s="163">
        <v>43159</v>
      </c>
      <c r="B2074" s="162">
        <v>80.709999999999994</v>
      </c>
    </row>
    <row r="2075" spans="1:2" ht="18" x14ac:dyDescent="0.2">
      <c r="A2075" s="163">
        <v>43158</v>
      </c>
      <c r="B2075" s="162">
        <v>81.209999999999994</v>
      </c>
    </row>
    <row r="2076" spans="1:2" ht="18" x14ac:dyDescent="0.2">
      <c r="A2076" s="163">
        <v>43157</v>
      </c>
      <c r="B2076" s="162">
        <v>81.48</v>
      </c>
    </row>
    <row r="2077" spans="1:2" ht="18" x14ac:dyDescent="0.2">
      <c r="A2077" s="163">
        <v>43154</v>
      </c>
      <c r="B2077" s="162">
        <v>80.13</v>
      </c>
    </row>
    <row r="2078" spans="1:2" ht="18" x14ac:dyDescent="0.2">
      <c r="A2078" s="163">
        <v>43153</v>
      </c>
      <c r="B2078" s="162">
        <v>78.5</v>
      </c>
    </row>
    <row r="2079" spans="1:2" ht="18" x14ac:dyDescent="0.2">
      <c r="A2079" s="163">
        <v>43152</v>
      </c>
      <c r="B2079" s="162">
        <v>79.95</v>
      </c>
    </row>
    <row r="2080" spans="1:2" ht="18" x14ac:dyDescent="0.2">
      <c r="A2080" s="163">
        <v>43151</v>
      </c>
      <c r="B2080" s="162">
        <v>80.17</v>
      </c>
    </row>
    <row r="2081" spans="1:2" ht="18" x14ac:dyDescent="0.2">
      <c r="A2081" s="163">
        <v>43147</v>
      </c>
      <c r="B2081" s="162">
        <v>77.31</v>
      </c>
    </row>
    <row r="2082" spans="1:2" ht="18" x14ac:dyDescent="0.2">
      <c r="A2082" s="163">
        <v>43146</v>
      </c>
      <c r="B2082" s="162">
        <v>78.56</v>
      </c>
    </row>
    <row r="2083" spans="1:2" ht="18" x14ac:dyDescent="0.2">
      <c r="A2083" s="163">
        <v>43145</v>
      </c>
      <c r="B2083" s="162">
        <v>78.819999999999993</v>
      </c>
    </row>
    <row r="2084" spans="1:2" ht="18" x14ac:dyDescent="0.2">
      <c r="A2084" s="163">
        <v>43144</v>
      </c>
      <c r="B2084" s="162">
        <v>79.349999999999994</v>
      </c>
    </row>
    <row r="2085" spans="1:2" ht="18" x14ac:dyDescent="0.2">
      <c r="A2085" s="163">
        <v>43143</v>
      </c>
      <c r="B2085" s="162">
        <v>79.17</v>
      </c>
    </row>
    <row r="2086" spans="1:2" ht="18" x14ac:dyDescent="0.2">
      <c r="A2086" s="163">
        <v>43140</v>
      </c>
      <c r="B2086" s="162">
        <v>77.849999999999994</v>
      </c>
    </row>
    <row r="2087" spans="1:2" ht="18" x14ac:dyDescent="0.2">
      <c r="A2087" s="163">
        <v>43139</v>
      </c>
      <c r="B2087" s="162">
        <v>76.849999999999994</v>
      </c>
    </row>
    <row r="2088" spans="1:2" ht="18" x14ac:dyDescent="0.2">
      <c r="A2088" s="163">
        <v>43138</v>
      </c>
      <c r="B2088" s="162">
        <v>78.09</v>
      </c>
    </row>
    <row r="2089" spans="1:2" ht="18" x14ac:dyDescent="0.2">
      <c r="A2089" s="163">
        <v>43137</v>
      </c>
      <c r="B2089" s="162">
        <v>79.069999999999993</v>
      </c>
    </row>
    <row r="2090" spans="1:2" ht="18" x14ac:dyDescent="0.2">
      <c r="A2090" s="163">
        <v>43136</v>
      </c>
      <c r="B2090" s="162">
        <v>75.58</v>
      </c>
    </row>
    <row r="2091" spans="1:2" ht="18" x14ac:dyDescent="0.2">
      <c r="A2091" s="163">
        <v>43133</v>
      </c>
      <c r="B2091" s="162">
        <v>80.77</v>
      </c>
    </row>
    <row r="2092" spans="1:2" ht="18" x14ac:dyDescent="0.2">
      <c r="A2092" s="163">
        <v>43132</v>
      </c>
      <c r="B2092" s="162">
        <v>83.34</v>
      </c>
    </row>
    <row r="2093" spans="1:2" ht="18" x14ac:dyDescent="0.2">
      <c r="A2093" s="163">
        <v>43131</v>
      </c>
      <c r="B2093" s="162">
        <v>71.77</v>
      </c>
    </row>
    <row r="2094" spans="1:2" ht="18" x14ac:dyDescent="0.2">
      <c r="A2094" s="163">
        <v>43130</v>
      </c>
      <c r="B2094" s="162">
        <v>70.67</v>
      </c>
    </row>
    <row r="2095" spans="1:2" ht="18" x14ac:dyDescent="0.2">
      <c r="A2095" s="163">
        <v>43129</v>
      </c>
      <c r="B2095" s="162">
        <v>68.19</v>
      </c>
    </row>
    <row r="2096" spans="1:2" ht="18" x14ac:dyDescent="0.2">
      <c r="A2096" s="163">
        <v>43126</v>
      </c>
      <c r="B2096" s="162">
        <v>67.94</v>
      </c>
    </row>
    <row r="2097" spans="1:2" ht="18" x14ac:dyDescent="0.2">
      <c r="A2097" s="163">
        <v>43125</v>
      </c>
      <c r="B2097" s="162">
        <v>66.06</v>
      </c>
    </row>
    <row r="2098" spans="1:2" ht="18" x14ac:dyDescent="0.2">
      <c r="A2098" s="163">
        <v>43124</v>
      </c>
      <c r="B2098" s="162">
        <v>66.900000000000006</v>
      </c>
    </row>
    <row r="2099" spans="1:2" ht="18" x14ac:dyDescent="0.2">
      <c r="A2099" s="163">
        <v>43123</v>
      </c>
      <c r="B2099" s="162">
        <v>67.319999999999993</v>
      </c>
    </row>
    <row r="2100" spans="1:2" ht="18" x14ac:dyDescent="0.2">
      <c r="A2100" s="163">
        <v>43122</v>
      </c>
      <c r="B2100" s="162">
        <v>66.34</v>
      </c>
    </row>
    <row r="2101" spans="1:2" ht="18" x14ac:dyDescent="0.2">
      <c r="A2101" s="163">
        <v>43119</v>
      </c>
      <c r="B2101" s="162">
        <v>68.400000000000006</v>
      </c>
    </row>
    <row r="2102" spans="1:2" ht="18" x14ac:dyDescent="0.2">
      <c r="A2102" s="163">
        <v>43118</v>
      </c>
      <c r="B2102" s="162">
        <v>70.7</v>
      </c>
    </row>
    <row r="2103" spans="1:2" ht="18" x14ac:dyDescent="0.2">
      <c r="A2103" s="163">
        <v>43117</v>
      </c>
      <c r="B2103" s="162">
        <v>70.849999999999994</v>
      </c>
    </row>
    <row r="2104" spans="1:2" ht="18" x14ac:dyDescent="0.2">
      <c r="A2104" s="163">
        <v>43116</v>
      </c>
      <c r="B2104" s="162">
        <v>69.3</v>
      </c>
    </row>
    <row r="2105" spans="1:2" ht="18" x14ac:dyDescent="0.2">
      <c r="A2105" s="163">
        <v>43112</v>
      </c>
      <c r="B2105" s="162">
        <v>71.040000000000006</v>
      </c>
    </row>
    <row r="2106" spans="1:2" ht="18" x14ac:dyDescent="0.2">
      <c r="A2106" s="163">
        <v>43111</v>
      </c>
      <c r="B2106" s="162">
        <v>68.88</v>
      </c>
    </row>
    <row r="2107" spans="1:2" ht="18" x14ac:dyDescent="0.2">
      <c r="A2107" s="163">
        <v>43110</v>
      </c>
      <c r="B2107" s="162">
        <v>67.739999999999995</v>
      </c>
    </row>
    <row r="2108" spans="1:2" ht="18" x14ac:dyDescent="0.2">
      <c r="A2108" s="163">
        <v>43109</v>
      </c>
      <c r="B2108" s="162">
        <v>69</v>
      </c>
    </row>
    <row r="2109" spans="1:2" ht="18" x14ac:dyDescent="0.2">
      <c r="A2109" s="163">
        <v>43108</v>
      </c>
      <c r="B2109" s="162">
        <v>68.84</v>
      </c>
    </row>
    <row r="2110" spans="1:2" ht="18" x14ac:dyDescent="0.2">
      <c r="A2110" s="163">
        <v>43105</v>
      </c>
      <c r="B2110" s="162">
        <v>68.03</v>
      </c>
    </row>
    <row r="2111" spans="1:2" ht="18" x14ac:dyDescent="0.2">
      <c r="A2111" s="163">
        <v>43104</v>
      </c>
      <c r="B2111" s="162">
        <v>68.72</v>
      </c>
    </row>
    <row r="2112" spans="1:2" ht="18" x14ac:dyDescent="0.2">
      <c r="A2112" s="163">
        <v>43103</v>
      </c>
      <c r="B2112" s="162">
        <v>68.39</v>
      </c>
    </row>
    <row r="2113" spans="1:2" ht="18" x14ac:dyDescent="0.2">
      <c r="A2113" s="163">
        <v>43102</v>
      </c>
      <c r="B2113" s="162">
        <v>68.88</v>
      </c>
    </row>
    <row r="2114" spans="1:2" ht="18" x14ac:dyDescent="0.2">
      <c r="A2114" s="163">
        <v>43098</v>
      </c>
      <c r="B2114" s="162">
        <v>66.599999999999994</v>
      </c>
    </row>
    <row r="2115" spans="1:2" ht="18" x14ac:dyDescent="0.2">
      <c r="A2115" s="163">
        <v>43097</v>
      </c>
      <c r="B2115" s="162">
        <v>67.36</v>
      </c>
    </row>
    <row r="2116" spans="1:2" ht="18" x14ac:dyDescent="0.2">
      <c r="A2116" s="163">
        <v>43096</v>
      </c>
      <c r="B2116" s="162">
        <v>67.260000000000005</v>
      </c>
    </row>
    <row r="2117" spans="1:2" ht="18" x14ac:dyDescent="0.2">
      <c r="A2117" s="163">
        <v>43095</v>
      </c>
      <c r="B2117" s="162">
        <v>65.900000000000006</v>
      </c>
    </row>
    <row r="2118" spans="1:2" ht="18" x14ac:dyDescent="0.2">
      <c r="A2118" s="163">
        <v>43091</v>
      </c>
      <c r="B2118" s="162">
        <v>67.69</v>
      </c>
    </row>
    <row r="2119" spans="1:2" ht="18" x14ac:dyDescent="0.2">
      <c r="A2119" s="163">
        <v>43090</v>
      </c>
      <c r="B2119" s="162">
        <v>67.48</v>
      </c>
    </row>
    <row r="2120" spans="1:2" ht="18" x14ac:dyDescent="0.2">
      <c r="A2120" s="163">
        <v>43089</v>
      </c>
      <c r="B2120" s="162">
        <v>67.069999999999993</v>
      </c>
    </row>
    <row r="2121" spans="1:2" ht="18" x14ac:dyDescent="0.2">
      <c r="A2121" s="163">
        <v>43088</v>
      </c>
      <c r="B2121" s="162">
        <v>66.790000000000006</v>
      </c>
    </row>
    <row r="2122" spans="1:2" ht="18" x14ac:dyDescent="0.2">
      <c r="A2122" s="163">
        <v>43087</v>
      </c>
      <c r="B2122" s="162">
        <v>67.05</v>
      </c>
    </row>
    <row r="2123" spans="1:2" ht="18" x14ac:dyDescent="0.2">
      <c r="A2123" s="163">
        <v>43084</v>
      </c>
      <c r="B2123" s="162">
        <v>65.53</v>
      </c>
    </row>
    <row r="2124" spans="1:2" ht="18" x14ac:dyDescent="0.2">
      <c r="A2124" s="163">
        <v>43083</v>
      </c>
      <c r="B2124" s="162">
        <v>65.23</v>
      </c>
    </row>
    <row r="2125" spans="1:2" ht="18" x14ac:dyDescent="0.2">
      <c r="A2125" s="163">
        <v>43082</v>
      </c>
      <c r="B2125" s="162">
        <v>67.290000000000006</v>
      </c>
    </row>
    <row r="2126" spans="1:2" ht="18" x14ac:dyDescent="0.2">
      <c r="A2126" s="163">
        <v>43081</v>
      </c>
      <c r="B2126" s="162">
        <v>67.69</v>
      </c>
    </row>
    <row r="2127" spans="1:2" ht="18" x14ac:dyDescent="0.2">
      <c r="A2127" s="163">
        <v>43080</v>
      </c>
      <c r="B2127" s="162">
        <v>68.62</v>
      </c>
    </row>
    <row r="2128" spans="1:2" ht="18" x14ac:dyDescent="0.2">
      <c r="A2128" s="163">
        <v>43077</v>
      </c>
      <c r="B2128" s="162">
        <v>67.88</v>
      </c>
    </row>
    <row r="2129" spans="1:2" ht="18" x14ac:dyDescent="0.2">
      <c r="A2129" s="163">
        <v>43076</v>
      </c>
      <c r="B2129" s="162">
        <v>68.72</v>
      </c>
    </row>
    <row r="2130" spans="1:2" ht="18" x14ac:dyDescent="0.2">
      <c r="A2130" s="163">
        <v>43075</v>
      </c>
      <c r="B2130" s="162">
        <v>70.099999999999994</v>
      </c>
    </row>
    <row r="2131" spans="1:2" ht="18" x14ac:dyDescent="0.2">
      <c r="A2131" s="163">
        <v>43074</v>
      </c>
      <c r="B2131" s="162">
        <v>71.78</v>
      </c>
    </row>
    <row r="2132" spans="1:2" ht="18" x14ac:dyDescent="0.2">
      <c r="A2132" s="163">
        <v>43073</v>
      </c>
      <c r="B2132" s="162">
        <v>72.400000000000006</v>
      </c>
    </row>
    <row r="2133" spans="1:2" ht="18" x14ac:dyDescent="0.2">
      <c r="A2133" s="163">
        <v>43070</v>
      </c>
      <c r="B2133" s="162">
        <v>74.209999999999994</v>
      </c>
    </row>
    <row r="2134" spans="1:2" ht="18" x14ac:dyDescent="0.2">
      <c r="A2134" s="163">
        <v>43069</v>
      </c>
      <c r="B2134" s="162">
        <v>76.58</v>
      </c>
    </row>
    <row r="2135" spans="1:2" ht="18" x14ac:dyDescent="0.2">
      <c r="A2135" s="163">
        <v>43068</v>
      </c>
      <c r="B2135" s="162">
        <v>76.69</v>
      </c>
    </row>
    <row r="2136" spans="1:2" ht="18" x14ac:dyDescent="0.2">
      <c r="A2136" s="163">
        <v>43067</v>
      </c>
      <c r="B2136" s="162">
        <v>79.03</v>
      </c>
    </row>
    <row r="2137" spans="1:2" ht="18" x14ac:dyDescent="0.2">
      <c r="A2137" s="163">
        <v>43066</v>
      </c>
      <c r="B2137" s="162">
        <v>79.739999999999995</v>
      </c>
    </row>
    <row r="2138" spans="1:2" ht="18" x14ac:dyDescent="0.2">
      <c r="A2138" s="163">
        <v>43063</v>
      </c>
      <c r="B2138" s="162">
        <v>80.62</v>
      </c>
    </row>
    <row r="2139" spans="1:2" ht="18" x14ac:dyDescent="0.2">
      <c r="A2139" s="163">
        <v>43061</v>
      </c>
      <c r="B2139" s="162">
        <v>79.61</v>
      </c>
    </row>
    <row r="2140" spans="1:2" ht="18" x14ac:dyDescent="0.2">
      <c r="A2140" s="163">
        <v>43060</v>
      </c>
      <c r="B2140" s="162">
        <v>80.59</v>
      </c>
    </row>
    <row r="2141" spans="1:2" ht="18" x14ac:dyDescent="0.2">
      <c r="A2141" s="163">
        <v>43059</v>
      </c>
      <c r="B2141" s="162">
        <v>79.14</v>
      </c>
    </row>
    <row r="2142" spans="1:2" ht="18" x14ac:dyDescent="0.2">
      <c r="A2142" s="163">
        <v>43056</v>
      </c>
      <c r="B2142" s="162">
        <v>77.33</v>
      </c>
    </row>
    <row r="2143" spans="1:2" ht="18" x14ac:dyDescent="0.2">
      <c r="A2143" s="163">
        <v>43055</v>
      </c>
      <c r="B2143" s="162">
        <v>77.91</v>
      </c>
    </row>
    <row r="2144" spans="1:2" ht="18" x14ac:dyDescent="0.2">
      <c r="A2144" s="163">
        <v>43054</v>
      </c>
      <c r="B2144" s="162">
        <v>76.680000000000007</v>
      </c>
    </row>
    <row r="2145" spans="1:2" ht="18" x14ac:dyDescent="0.2">
      <c r="A2145" s="163">
        <v>43053</v>
      </c>
      <c r="B2145" s="162">
        <v>78.41</v>
      </c>
    </row>
    <row r="2146" spans="1:2" ht="18" x14ac:dyDescent="0.2">
      <c r="A2146" s="163">
        <v>43052</v>
      </c>
      <c r="B2146" s="162">
        <v>79.08</v>
      </c>
    </row>
    <row r="2147" spans="1:2" ht="18" x14ac:dyDescent="0.2">
      <c r="A2147" s="163">
        <v>43049</v>
      </c>
      <c r="B2147" s="162">
        <v>79.569999999999993</v>
      </c>
    </row>
    <row r="2148" spans="1:2" ht="18" x14ac:dyDescent="0.2">
      <c r="A2148" s="163">
        <v>43048</v>
      </c>
      <c r="B2148" s="162">
        <v>79.47</v>
      </c>
    </row>
    <row r="2149" spans="1:2" ht="18" x14ac:dyDescent="0.2">
      <c r="A2149" s="163">
        <v>43047</v>
      </c>
      <c r="B2149" s="162">
        <v>80.819999999999993</v>
      </c>
    </row>
    <row r="2150" spans="1:2" ht="18" x14ac:dyDescent="0.2">
      <c r="A2150" s="163">
        <v>43046</v>
      </c>
      <c r="B2150" s="162">
        <v>78.459999999999994</v>
      </c>
    </row>
    <row r="2151" spans="1:2" ht="18" x14ac:dyDescent="0.2">
      <c r="A2151" s="163">
        <v>43045</v>
      </c>
      <c r="B2151" s="162">
        <v>78.489999999999995</v>
      </c>
    </row>
    <row r="2152" spans="1:2" ht="18" x14ac:dyDescent="0.2">
      <c r="A2152" s="163">
        <v>43042</v>
      </c>
      <c r="B2152" s="162">
        <v>73.84</v>
      </c>
    </row>
    <row r="2153" spans="1:2" ht="18" x14ac:dyDescent="0.2">
      <c r="A2153" s="163">
        <v>43041</v>
      </c>
      <c r="B2153" s="162">
        <v>74.3</v>
      </c>
    </row>
    <row r="2154" spans="1:2" ht="18" x14ac:dyDescent="0.2">
      <c r="A2154" s="163">
        <v>43040</v>
      </c>
      <c r="B2154" s="162">
        <v>74.459999999999994</v>
      </c>
    </row>
    <row r="2155" spans="1:2" ht="18" x14ac:dyDescent="0.2">
      <c r="A2155" s="163">
        <v>43039</v>
      </c>
      <c r="B2155" s="162">
        <v>75.81</v>
      </c>
    </row>
    <row r="2156" spans="1:2" ht="18" x14ac:dyDescent="0.2">
      <c r="A2156" s="163">
        <v>43038</v>
      </c>
      <c r="B2156" s="162">
        <v>76.25</v>
      </c>
    </row>
    <row r="2157" spans="1:2" ht="18" x14ac:dyDescent="0.2">
      <c r="A2157" s="163">
        <v>43035</v>
      </c>
      <c r="B2157" s="162">
        <v>73.72</v>
      </c>
    </row>
    <row r="2158" spans="1:2" ht="18" x14ac:dyDescent="0.2">
      <c r="A2158" s="163">
        <v>43034</v>
      </c>
      <c r="B2158" s="162">
        <v>71.56</v>
      </c>
    </row>
    <row r="2159" spans="1:2" ht="18" x14ac:dyDescent="0.2">
      <c r="A2159" s="163">
        <v>43033</v>
      </c>
      <c r="B2159" s="162">
        <v>71.78</v>
      </c>
    </row>
    <row r="2160" spans="1:2" ht="18" x14ac:dyDescent="0.2">
      <c r="A2160" s="163">
        <v>43032</v>
      </c>
      <c r="B2160" s="162">
        <v>71.44</v>
      </c>
    </row>
    <row r="2161" spans="1:2" ht="18" x14ac:dyDescent="0.2">
      <c r="A2161" s="163">
        <v>43031</v>
      </c>
      <c r="B2161" s="162">
        <v>69.8</v>
      </c>
    </row>
    <row r="2162" spans="1:2" ht="18" x14ac:dyDescent="0.2">
      <c r="A2162" s="163">
        <v>43028</v>
      </c>
      <c r="B2162" s="162">
        <v>69.92</v>
      </c>
    </row>
    <row r="2163" spans="1:2" ht="18" x14ac:dyDescent="0.2">
      <c r="A2163" s="163">
        <v>43027</v>
      </c>
      <c r="B2163" s="162">
        <v>69.680000000000007</v>
      </c>
    </row>
    <row r="2164" spans="1:2" ht="18" x14ac:dyDescent="0.2">
      <c r="A2164" s="163">
        <v>43026</v>
      </c>
      <c r="B2164" s="162">
        <v>72.02</v>
      </c>
    </row>
    <row r="2165" spans="1:2" ht="18" x14ac:dyDescent="0.2">
      <c r="A2165" s="163">
        <v>43025</v>
      </c>
      <c r="B2165" s="162">
        <v>72.27</v>
      </c>
    </row>
    <row r="2166" spans="1:2" ht="18" x14ac:dyDescent="0.2">
      <c r="A2166" s="163">
        <v>43024</v>
      </c>
      <c r="B2166" s="162">
        <v>72.53</v>
      </c>
    </row>
    <row r="2167" spans="1:2" ht="18" x14ac:dyDescent="0.2">
      <c r="A2167" s="163">
        <v>43021</v>
      </c>
      <c r="B2167" s="162">
        <v>72.39</v>
      </c>
    </row>
    <row r="2168" spans="1:2" ht="18" x14ac:dyDescent="0.2">
      <c r="A2168" s="163">
        <v>43020</v>
      </c>
      <c r="B2168" s="162">
        <v>72.36</v>
      </c>
    </row>
    <row r="2169" spans="1:2" ht="18" x14ac:dyDescent="0.2">
      <c r="A2169" s="163">
        <v>43019</v>
      </c>
      <c r="B2169" s="162">
        <v>72.94</v>
      </c>
    </row>
    <row r="2170" spans="1:2" ht="18" x14ac:dyDescent="0.2">
      <c r="A2170" s="163">
        <v>43018</v>
      </c>
      <c r="B2170" s="162">
        <v>71.84</v>
      </c>
    </row>
    <row r="2171" spans="1:2" ht="18" x14ac:dyDescent="0.2">
      <c r="A2171" s="163">
        <v>43017</v>
      </c>
      <c r="B2171" s="162">
        <v>72.66</v>
      </c>
    </row>
    <row r="2172" spans="1:2" ht="18" x14ac:dyDescent="0.2">
      <c r="A2172" s="163">
        <v>43014</v>
      </c>
      <c r="B2172" s="162">
        <v>72.69</v>
      </c>
    </row>
    <row r="2173" spans="1:2" ht="18" x14ac:dyDescent="0.2">
      <c r="A2173" s="163">
        <v>43013</v>
      </c>
      <c r="B2173" s="162">
        <v>71.7</v>
      </c>
    </row>
    <row r="2174" spans="1:2" ht="18" x14ac:dyDescent="0.2">
      <c r="A2174" s="163">
        <v>43012</v>
      </c>
      <c r="B2174" s="162">
        <v>72.16</v>
      </c>
    </row>
    <row r="2175" spans="1:2" ht="18" x14ac:dyDescent="0.2">
      <c r="A2175" s="163">
        <v>43011</v>
      </c>
      <c r="B2175" s="162">
        <v>71.39</v>
      </c>
    </row>
    <row r="2176" spans="1:2" ht="18" x14ac:dyDescent="0.2">
      <c r="A2176" s="163">
        <v>43010</v>
      </c>
      <c r="B2176" s="162">
        <v>71.290000000000006</v>
      </c>
    </row>
    <row r="2177" spans="1:2" ht="18" x14ac:dyDescent="0.2">
      <c r="A2177" s="163">
        <v>43007</v>
      </c>
      <c r="B2177" s="162">
        <v>70.680000000000007</v>
      </c>
    </row>
    <row r="2178" spans="1:2" ht="18" x14ac:dyDescent="0.2">
      <c r="A2178" s="163">
        <v>43006</v>
      </c>
      <c r="B2178" s="162">
        <v>70.2</v>
      </c>
    </row>
    <row r="2179" spans="1:2" ht="18" x14ac:dyDescent="0.2">
      <c r="A2179" s="163">
        <v>43005</v>
      </c>
      <c r="B2179" s="162">
        <v>70.25</v>
      </c>
    </row>
    <row r="2180" spans="1:2" ht="18" x14ac:dyDescent="0.2">
      <c r="A2180" s="163">
        <v>43004</v>
      </c>
      <c r="B2180" s="162">
        <v>68.239999999999995</v>
      </c>
    </row>
    <row r="2181" spans="1:2" ht="18" x14ac:dyDescent="0.2">
      <c r="A2181" s="163">
        <v>43003</v>
      </c>
      <c r="B2181" s="162">
        <v>68.66</v>
      </c>
    </row>
    <row r="2182" spans="1:2" ht="18" x14ac:dyDescent="0.2">
      <c r="A2182" s="163">
        <v>43000</v>
      </c>
      <c r="B2182" s="162">
        <v>71.2</v>
      </c>
    </row>
    <row r="2183" spans="1:2" ht="18" x14ac:dyDescent="0.2">
      <c r="A2183" s="163">
        <v>42999</v>
      </c>
      <c r="B2183" s="162">
        <v>70.61</v>
      </c>
    </row>
    <row r="2184" spans="1:2" ht="18" x14ac:dyDescent="0.2">
      <c r="A2184" s="163">
        <v>42998</v>
      </c>
      <c r="B2184" s="162">
        <v>70.319999999999993</v>
      </c>
    </row>
    <row r="2185" spans="1:2" ht="18" x14ac:dyDescent="0.2">
      <c r="A2185" s="163">
        <v>42997</v>
      </c>
      <c r="B2185" s="162">
        <v>74.319999999999993</v>
      </c>
    </row>
    <row r="2186" spans="1:2" ht="18" x14ac:dyDescent="0.2">
      <c r="A2186" s="163">
        <v>42996</v>
      </c>
      <c r="B2186" s="162">
        <v>74.349999999999994</v>
      </c>
    </row>
    <row r="2187" spans="1:2" ht="18" x14ac:dyDescent="0.2">
      <c r="A2187" s="163">
        <v>42993</v>
      </c>
      <c r="B2187" s="162">
        <v>75.489999999999995</v>
      </c>
    </row>
    <row r="2188" spans="1:2" ht="18" x14ac:dyDescent="0.2">
      <c r="A2188" s="163">
        <v>42992</v>
      </c>
      <c r="B2188" s="162">
        <v>73.48</v>
      </c>
    </row>
    <row r="2189" spans="1:2" ht="18" x14ac:dyDescent="0.2">
      <c r="A2189" s="163">
        <v>42991</v>
      </c>
      <c r="B2189" s="162">
        <v>73.010000000000005</v>
      </c>
    </row>
    <row r="2190" spans="1:2" ht="18" x14ac:dyDescent="0.2">
      <c r="A2190" s="163">
        <v>42990</v>
      </c>
      <c r="B2190" s="162">
        <v>72.95</v>
      </c>
    </row>
    <row r="2191" spans="1:2" ht="18" x14ac:dyDescent="0.2">
      <c r="A2191" s="163">
        <v>42989</v>
      </c>
      <c r="B2191" s="162">
        <v>72.63</v>
      </c>
    </row>
    <row r="2192" spans="1:2" ht="18" x14ac:dyDescent="0.2">
      <c r="A2192" s="163">
        <v>42986</v>
      </c>
      <c r="B2192" s="162">
        <v>71.61</v>
      </c>
    </row>
    <row r="2193" spans="1:2" ht="18" x14ac:dyDescent="0.2">
      <c r="A2193" s="163">
        <v>42985</v>
      </c>
      <c r="B2193" s="162">
        <v>73.22</v>
      </c>
    </row>
    <row r="2194" spans="1:2" ht="18" x14ac:dyDescent="0.2">
      <c r="A2194" s="163">
        <v>42984</v>
      </c>
      <c r="B2194" s="162">
        <v>73.319999999999993</v>
      </c>
    </row>
    <row r="2195" spans="1:2" ht="18" x14ac:dyDescent="0.2">
      <c r="A2195" s="163">
        <v>42983</v>
      </c>
      <c r="B2195" s="162">
        <v>73.38</v>
      </c>
    </row>
    <row r="2196" spans="1:2" ht="18" x14ac:dyDescent="0.2">
      <c r="A2196" s="163">
        <v>42979</v>
      </c>
      <c r="B2196" s="162">
        <v>73.260000000000005</v>
      </c>
    </row>
    <row r="2197" spans="1:2" ht="18" x14ac:dyDescent="0.2">
      <c r="A2197" s="163">
        <v>42978</v>
      </c>
      <c r="B2197" s="162">
        <v>73.22</v>
      </c>
    </row>
    <row r="2198" spans="1:2" ht="18" x14ac:dyDescent="0.2">
      <c r="A2198" s="163">
        <v>42977</v>
      </c>
      <c r="B2198" s="162">
        <v>73.12</v>
      </c>
    </row>
    <row r="2199" spans="1:2" ht="18" x14ac:dyDescent="0.2">
      <c r="A2199" s="163">
        <v>42976</v>
      </c>
      <c r="B2199" s="162">
        <v>70.459999999999994</v>
      </c>
    </row>
    <row r="2200" spans="1:2" ht="18" x14ac:dyDescent="0.2">
      <c r="A2200" s="163">
        <v>42975</v>
      </c>
      <c r="B2200" s="162">
        <v>70.599999999999994</v>
      </c>
    </row>
    <row r="2201" spans="1:2" ht="18" x14ac:dyDescent="0.2">
      <c r="A2201" s="163">
        <v>42972</v>
      </c>
      <c r="B2201" s="162">
        <v>70.930000000000007</v>
      </c>
    </row>
    <row r="2202" spans="1:2" ht="18" x14ac:dyDescent="0.2">
      <c r="A2202" s="163">
        <v>42971</v>
      </c>
      <c r="B2202" s="162">
        <v>70.25</v>
      </c>
    </row>
    <row r="2203" spans="1:2" ht="18" x14ac:dyDescent="0.2">
      <c r="A2203" s="163">
        <v>42970</v>
      </c>
      <c r="B2203" s="162">
        <v>70.67</v>
      </c>
    </row>
    <row r="2204" spans="1:2" ht="18" x14ac:dyDescent="0.2">
      <c r="A2204" s="163">
        <v>42969</v>
      </c>
      <c r="B2204" s="162">
        <v>71.010000000000005</v>
      </c>
    </row>
    <row r="2205" spans="1:2" ht="18" x14ac:dyDescent="0.2">
      <c r="A2205" s="163">
        <v>42968</v>
      </c>
      <c r="B2205" s="162">
        <v>69.33</v>
      </c>
    </row>
    <row r="2206" spans="1:2" ht="18" x14ac:dyDescent="0.2">
      <c r="A2206" s="163">
        <v>42965</v>
      </c>
      <c r="B2206" s="162">
        <v>69.67</v>
      </c>
    </row>
    <row r="2207" spans="1:2" ht="18" x14ac:dyDescent="0.2">
      <c r="A2207" s="163">
        <v>42964</v>
      </c>
      <c r="B2207" s="162">
        <v>71.19</v>
      </c>
    </row>
    <row r="2208" spans="1:2" ht="18" x14ac:dyDescent="0.2">
      <c r="A2208" s="163">
        <v>42963</v>
      </c>
      <c r="B2208" s="162">
        <v>72.42</v>
      </c>
    </row>
    <row r="2209" spans="1:2" ht="18" x14ac:dyDescent="0.2">
      <c r="A2209" s="163">
        <v>42962</v>
      </c>
      <c r="B2209" s="162">
        <v>71.760000000000005</v>
      </c>
    </row>
    <row r="2210" spans="1:2" ht="18" x14ac:dyDescent="0.2">
      <c r="A2210" s="163">
        <v>42961</v>
      </c>
      <c r="B2210" s="162">
        <v>71.42</v>
      </c>
    </row>
    <row r="2211" spans="1:2" ht="18" x14ac:dyDescent="0.2">
      <c r="A2211" s="163">
        <v>42958</v>
      </c>
      <c r="B2211" s="162">
        <v>68.900000000000006</v>
      </c>
    </row>
    <row r="2212" spans="1:2" ht="18" x14ac:dyDescent="0.2">
      <c r="A2212" s="163">
        <v>42957</v>
      </c>
      <c r="B2212" s="162">
        <v>67.77</v>
      </c>
    </row>
    <row r="2213" spans="1:2" ht="18" x14ac:dyDescent="0.2">
      <c r="A2213" s="163">
        <v>42956</v>
      </c>
      <c r="B2213" s="162">
        <v>69.06</v>
      </c>
    </row>
    <row r="2214" spans="1:2" ht="18" x14ac:dyDescent="0.2">
      <c r="A2214" s="163">
        <v>42955</v>
      </c>
      <c r="B2214" s="162">
        <v>69.16</v>
      </c>
    </row>
    <row r="2215" spans="1:2" ht="18" x14ac:dyDescent="0.2">
      <c r="A2215" s="163">
        <v>42954</v>
      </c>
      <c r="B2215" s="162">
        <v>68.8</v>
      </c>
    </row>
    <row r="2216" spans="1:2" ht="18" x14ac:dyDescent="0.2">
      <c r="A2216" s="163">
        <v>42951</v>
      </c>
      <c r="B2216" s="162">
        <v>66.62</v>
      </c>
    </row>
    <row r="2217" spans="1:2" ht="18" x14ac:dyDescent="0.2">
      <c r="A2217" s="163">
        <v>42950</v>
      </c>
      <c r="B2217" s="162">
        <v>66.89</v>
      </c>
    </row>
    <row r="2218" spans="1:2" ht="18" x14ac:dyDescent="0.2">
      <c r="A2218" s="163">
        <v>42949</v>
      </c>
      <c r="B2218" s="162">
        <v>66.86</v>
      </c>
    </row>
    <row r="2219" spans="1:2" ht="18" x14ac:dyDescent="0.2">
      <c r="A2219" s="163">
        <v>42948</v>
      </c>
      <c r="B2219" s="162">
        <v>68.069999999999993</v>
      </c>
    </row>
    <row r="2220" spans="1:2" ht="18" x14ac:dyDescent="0.2">
      <c r="A2220" s="163">
        <v>42947</v>
      </c>
      <c r="B2220" s="162">
        <v>68.56</v>
      </c>
    </row>
    <row r="2221" spans="1:2" ht="18" x14ac:dyDescent="0.2">
      <c r="A2221" s="163">
        <v>42944</v>
      </c>
      <c r="B2221" s="162">
        <v>69</v>
      </c>
    </row>
    <row r="2222" spans="1:2" ht="18" x14ac:dyDescent="0.2">
      <c r="A2222" s="163">
        <v>42943</v>
      </c>
      <c r="B2222" s="162">
        <v>69.099999999999994</v>
      </c>
    </row>
    <row r="2223" spans="1:2" ht="18" x14ac:dyDescent="0.2">
      <c r="A2223" s="163">
        <v>42942</v>
      </c>
      <c r="B2223" s="162">
        <v>69.540000000000006</v>
      </c>
    </row>
    <row r="2224" spans="1:2" ht="18" x14ac:dyDescent="0.2">
      <c r="A2224" s="163">
        <v>42941</v>
      </c>
      <c r="B2224" s="162">
        <v>69.290000000000006</v>
      </c>
    </row>
    <row r="2225" spans="1:2" ht="18" x14ac:dyDescent="0.2">
      <c r="A2225" s="163">
        <v>42940</v>
      </c>
      <c r="B2225" s="162">
        <v>69.17</v>
      </c>
    </row>
    <row r="2226" spans="1:2" ht="18" x14ac:dyDescent="0.2">
      <c r="A2226" s="163">
        <v>42937</v>
      </c>
      <c r="B2226" s="162">
        <v>69.290000000000006</v>
      </c>
    </row>
    <row r="2227" spans="1:2" ht="18" x14ac:dyDescent="0.2">
      <c r="A2227" s="163">
        <v>42936</v>
      </c>
      <c r="B2227" s="162">
        <v>68.72</v>
      </c>
    </row>
    <row r="2228" spans="1:2" ht="18" x14ac:dyDescent="0.2">
      <c r="A2228" s="163">
        <v>42935</v>
      </c>
      <c r="B2228" s="162">
        <v>67.64</v>
      </c>
    </row>
    <row r="2229" spans="1:2" ht="18" x14ac:dyDescent="0.2">
      <c r="A2229" s="163">
        <v>42934</v>
      </c>
      <c r="B2229" s="162">
        <v>66.98</v>
      </c>
    </row>
    <row r="2230" spans="1:2" ht="18" x14ac:dyDescent="0.2">
      <c r="A2230" s="163">
        <v>42933</v>
      </c>
      <c r="B2230" s="162">
        <v>67</v>
      </c>
    </row>
    <row r="2231" spans="1:2" ht="18" x14ac:dyDescent="0.2">
      <c r="A2231" s="163">
        <v>42930</v>
      </c>
      <c r="B2231" s="162">
        <v>67.319999999999993</v>
      </c>
    </row>
    <row r="2232" spans="1:2" ht="18" x14ac:dyDescent="0.2">
      <c r="A2232" s="163">
        <v>42929</v>
      </c>
      <c r="B2232" s="162">
        <v>67.37</v>
      </c>
    </row>
    <row r="2233" spans="1:2" ht="18" x14ac:dyDescent="0.2">
      <c r="A2233" s="163">
        <v>42928</v>
      </c>
      <c r="B2233" s="162">
        <v>67.47</v>
      </c>
    </row>
    <row r="2234" spans="1:2" ht="18" x14ac:dyDescent="0.2">
      <c r="A2234" s="163">
        <v>42927</v>
      </c>
      <c r="B2234" s="162">
        <v>65.930000000000007</v>
      </c>
    </row>
    <row r="2235" spans="1:2" ht="18" x14ac:dyDescent="0.2">
      <c r="A2235" s="163">
        <v>42926</v>
      </c>
      <c r="B2235" s="162">
        <v>65</v>
      </c>
    </row>
    <row r="2236" spans="1:2" ht="18" x14ac:dyDescent="0.2">
      <c r="A2236" s="163">
        <v>42923</v>
      </c>
      <c r="B2236" s="162">
        <v>65.86</v>
      </c>
    </row>
    <row r="2237" spans="1:2" ht="18" x14ac:dyDescent="0.2">
      <c r="A2237" s="163">
        <v>42922</v>
      </c>
      <c r="B2237" s="162">
        <v>64.010000000000005</v>
      </c>
    </row>
    <row r="2238" spans="1:2" ht="18" x14ac:dyDescent="0.2">
      <c r="A2238" s="163">
        <v>42921</v>
      </c>
      <c r="B2238" s="162">
        <v>65.02</v>
      </c>
    </row>
    <row r="2239" spans="1:2" ht="18" x14ac:dyDescent="0.2">
      <c r="A2239" s="163">
        <v>42919</v>
      </c>
      <c r="B2239" s="162">
        <v>63</v>
      </c>
    </row>
    <row r="2240" spans="1:2" ht="18" x14ac:dyDescent="0.2">
      <c r="A2240" s="163">
        <v>42916</v>
      </c>
      <c r="B2240" s="162">
        <v>63.32</v>
      </c>
    </row>
    <row r="2241" spans="1:2" ht="18" x14ac:dyDescent="0.2">
      <c r="A2241" s="163">
        <v>42915</v>
      </c>
      <c r="B2241" s="162">
        <v>64.290000000000006</v>
      </c>
    </row>
    <row r="2242" spans="1:2" ht="18" x14ac:dyDescent="0.2">
      <c r="A2242" s="163">
        <v>42914</v>
      </c>
      <c r="B2242" s="162">
        <v>65.95</v>
      </c>
    </row>
    <row r="2243" spans="1:2" ht="18" x14ac:dyDescent="0.2">
      <c r="A2243" s="163">
        <v>42913</v>
      </c>
      <c r="B2243" s="162">
        <v>64.489999999999995</v>
      </c>
    </row>
    <row r="2244" spans="1:2" ht="18" x14ac:dyDescent="0.2">
      <c r="A2244" s="163">
        <v>42912</v>
      </c>
      <c r="B2244" s="162">
        <v>66.41</v>
      </c>
    </row>
    <row r="2245" spans="1:2" ht="18" x14ac:dyDescent="0.2">
      <c r="A2245" s="163">
        <v>42909</v>
      </c>
      <c r="B2245" s="162">
        <v>69.94</v>
      </c>
    </row>
    <row r="2246" spans="1:2" ht="18" x14ac:dyDescent="0.2">
      <c r="A2246" s="163">
        <v>42908</v>
      </c>
      <c r="B2246" s="162">
        <v>70.489999999999995</v>
      </c>
    </row>
    <row r="2247" spans="1:2" ht="18" x14ac:dyDescent="0.2">
      <c r="A2247" s="163">
        <v>42907</v>
      </c>
      <c r="B2247" s="162">
        <v>71.180000000000007</v>
      </c>
    </row>
    <row r="2248" spans="1:2" ht="18" x14ac:dyDescent="0.2">
      <c r="A2248" s="163">
        <v>42906</v>
      </c>
      <c r="B2248" s="162">
        <v>70.86</v>
      </c>
    </row>
    <row r="2249" spans="1:2" ht="18" x14ac:dyDescent="0.2">
      <c r="A2249" s="163">
        <v>42905</v>
      </c>
      <c r="B2249" s="162">
        <v>72.459999999999994</v>
      </c>
    </row>
    <row r="2250" spans="1:2" ht="18" x14ac:dyDescent="0.2">
      <c r="A2250" s="163">
        <v>42902</v>
      </c>
      <c r="B2250" s="162">
        <v>71.72</v>
      </c>
    </row>
    <row r="2251" spans="1:2" ht="18" x14ac:dyDescent="0.2">
      <c r="A2251" s="163">
        <v>42901</v>
      </c>
      <c r="B2251" s="162">
        <v>71.680000000000007</v>
      </c>
    </row>
    <row r="2252" spans="1:2" ht="18" x14ac:dyDescent="0.2">
      <c r="A2252" s="163">
        <v>42900</v>
      </c>
      <c r="B2252" s="162">
        <v>72.13</v>
      </c>
    </row>
    <row r="2253" spans="1:2" ht="18" x14ac:dyDescent="0.2">
      <c r="A2253" s="163">
        <v>42899</v>
      </c>
      <c r="B2253" s="162">
        <v>74.650000000000006</v>
      </c>
    </row>
    <row r="2254" spans="1:2" ht="18" x14ac:dyDescent="0.2">
      <c r="A2254" s="163">
        <v>42898</v>
      </c>
      <c r="B2254" s="162">
        <v>74.63</v>
      </c>
    </row>
    <row r="2255" spans="1:2" ht="18" x14ac:dyDescent="0.2">
      <c r="A2255" s="163">
        <v>42895</v>
      </c>
      <c r="B2255" s="162">
        <v>75.27</v>
      </c>
    </row>
    <row r="2256" spans="1:2" ht="18" x14ac:dyDescent="0.2">
      <c r="A2256" s="163">
        <v>42894</v>
      </c>
      <c r="B2256" s="162">
        <v>78.08</v>
      </c>
    </row>
    <row r="2257" spans="1:2" ht="18" x14ac:dyDescent="0.2">
      <c r="A2257" s="163">
        <v>42893</v>
      </c>
      <c r="B2257" s="162">
        <v>77.67</v>
      </c>
    </row>
    <row r="2258" spans="1:2" ht="18" x14ac:dyDescent="0.2">
      <c r="A2258" s="163">
        <v>42892</v>
      </c>
      <c r="B2258" s="162">
        <v>77.5</v>
      </c>
    </row>
    <row r="2259" spans="1:2" ht="18" x14ac:dyDescent="0.2">
      <c r="A2259" s="163">
        <v>42891</v>
      </c>
      <c r="B2259" s="162">
        <v>77.3</v>
      </c>
    </row>
    <row r="2260" spans="1:2" ht="18" x14ac:dyDescent="0.2">
      <c r="A2260" s="163">
        <v>42888</v>
      </c>
      <c r="B2260" s="162">
        <v>78.95</v>
      </c>
    </row>
    <row r="2261" spans="1:2" ht="18" x14ac:dyDescent="0.2">
      <c r="A2261" s="163">
        <v>42887</v>
      </c>
      <c r="B2261" s="162">
        <v>79.06</v>
      </c>
    </row>
    <row r="2262" spans="1:2" ht="18" x14ac:dyDescent="0.2">
      <c r="A2262" s="163">
        <v>42886</v>
      </c>
      <c r="B2262" s="162">
        <v>77.95</v>
      </c>
    </row>
    <row r="2263" spans="1:2" ht="18" x14ac:dyDescent="0.2">
      <c r="A2263" s="163">
        <v>42885</v>
      </c>
      <c r="B2263" s="162">
        <v>78.650000000000006</v>
      </c>
    </row>
    <row r="2264" spans="1:2" ht="18" x14ac:dyDescent="0.2">
      <c r="A2264" s="163">
        <v>42881</v>
      </c>
      <c r="B2264" s="162">
        <v>77.84</v>
      </c>
    </row>
    <row r="2265" spans="1:2" ht="18" x14ac:dyDescent="0.2">
      <c r="A2265" s="163">
        <v>42880</v>
      </c>
      <c r="B2265" s="162">
        <v>78.83</v>
      </c>
    </row>
    <row r="2266" spans="1:2" ht="18" x14ac:dyDescent="0.2">
      <c r="A2266" s="163">
        <v>42879</v>
      </c>
      <c r="B2266" s="162">
        <v>78.39</v>
      </c>
    </row>
    <row r="2267" spans="1:2" ht="18" x14ac:dyDescent="0.2">
      <c r="A2267" s="163">
        <v>42878</v>
      </c>
      <c r="B2267" s="162">
        <v>78.55</v>
      </c>
    </row>
    <row r="2268" spans="1:2" ht="18" x14ac:dyDescent="0.2">
      <c r="A2268" s="163">
        <v>42877</v>
      </c>
      <c r="B2268" s="162">
        <v>78.069999999999993</v>
      </c>
    </row>
    <row r="2269" spans="1:2" ht="18" x14ac:dyDescent="0.2">
      <c r="A2269" s="163">
        <v>42874</v>
      </c>
      <c r="B2269" s="162">
        <v>75.510000000000005</v>
      </c>
    </row>
    <row r="2270" spans="1:2" ht="18" x14ac:dyDescent="0.2">
      <c r="A2270" s="163">
        <v>42873</v>
      </c>
      <c r="B2270" s="162">
        <v>75.55</v>
      </c>
    </row>
    <row r="2271" spans="1:2" ht="18" x14ac:dyDescent="0.2">
      <c r="A2271" s="163">
        <v>42872</v>
      </c>
      <c r="B2271" s="162">
        <v>72.540000000000006</v>
      </c>
    </row>
    <row r="2272" spans="1:2" ht="18" x14ac:dyDescent="0.2">
      <c r="A2272" s="163">
        <v>42871</v>
      </c>
      <c r="B2272" s="162">
        <v>74.84</v>
      </c>
    </row>
    <row r="2273" spans="1:2" ht="18" x14ac:dyDescent="0.2">
      <c r="A2273" s="163">
        <v>42870</v>
      </c>
      <c r="B2273" s="162">
        <v>71.540000000000006</v>
      </c>
    </row>
    <row r="2274" spans="1:2" ht="18" x14ac:dyDescent="0.2">
      <c r="A2274" s="163">
        <v>42867</v>
      </c>
      <c r="B2274" s="162">
        <v>67.8</v>
      </c>
    </row>
    <row r="2275" spans="1:2" ht="18" x14ac:dyDescent="0.2">
      <c r="A2275" s="163">
        <v>42866</v>
      </c>
      <c r="B2275" s="162">
        <v>67.02</v>
      </c>
    </row>
    <row r="2276" spans="1:2" ht="18" x14ac:dyDescent="0.2">
      <c r="A2276" s="163">
        <v>42865</v>
      </c>
      <c r="B2276" s="162">
        <v>66.790000000000006</v>
      </c>
    </row>
    <row r="2277" spans="1:2" ht="18" x14ac:dyDescent="0.2">
      <c r="A2277" s="163">
        <v>42864</v>
      </c>
      <c r="B2277" s="162">
        <v>66.16</v>
      </c>
    </row>
    <row r="2278" spans="1:2" ht="18" x14ac:dyDescent="0.2">
      <c r="A2278" s="163">
        <v>42863</v>
      </c>
      <c r="B2278" s="162">
        <v>65.650000000000006</v>
      </c>
    </row>
    <row r="2279" spans="1:2" ht="18" x14ac:dyDescent="0.2">
      <c r="A2279" s="163">
        <v>42860</v>
      </c>
      <c r="B2279" s="162">
        <v>66.900000000000006</v>
      </c>
    </row>
    <row r="2280" spans="1:2" ht="18" x14ac:dyDescent="0.2">
      <c r="A2280" s="163">
        <v>42859</v>
      </c>
      <c r="B2280" s="162">
        <v>67.02</v>
      </c>
    </row>
    <row r="2281" spans="1:2" ht="18" x14ac:dyDescent="0.2">
      <c r="A2281" s="163">
        <v>42858</v>
      </c>
      <c r="B2281" s="162">
        <v>68.05</v>
      </c>
    </row>
    <row r="2282" spans="1:2" ht="18" x14ac:dyDescent="0.2">
      <c r="A2282" s="163">
        <v>42857</v>
      </c>
      <c r="B2282" s="162">
        <v>68.34</v>
      </c>
    </row>
    <row r="2283" spans="1:2" ht="18" x14ac:dyDescent="0.2">
      <c r="A2283" s="163">
        <v>42856</v>
      </c>
      <c r="B2283" s="162">
        <v>68.61</v>
      </c>
    </row>
    <row r="2284" spans="1:2" ht="18" x14ac:dyDescent="0.2">
      <c r="A2284" s="163">
        <v>42853</v>
      </c>
      <c r="B2284" s="162">
        <v>68.03</v>
      </c>
    </row>
    <row r="2285" spans="1:2" ht="18" x14ac:dyDescent="0.2">
      <c r="A2285" s="163">
        <v>42852</v>
      </c>
      <c r="B2285" s="162">
        <v>71.12</v>
      </c>
    </row>
    <row r="2286" spans="1:2" ht="18" x14ac:dyDescent="0.2">
      <c r="A2286" s="163">
        <v>42851</v>
      </c>
      <c r="B2286" s="162">
        <v>70.97</v>
      </c>
    </row>
    <row r="2287" spans="1:2" ht="18" x14ac:dyDescent="0.2">
      <c r="A2287" s="163">
        <v>42850</v>
      </c>
      <c r="B2287" s="162">
        <v>71.31</v>
      </c>
    </row>
    <row r="2288" spans="1:2" ht="18" x14ac:dyDescent="0.2">
      <c r="A2288" s="163">
        <v>42849</v>
      </c>
      <c r="B2288" s="162">
        <v>70.94</v>
      </c>
    </row>
    <row r="2289" spans="1:2" ht="18" x14ac:dyDescent="0.2">
      <c r="A2289" s="163">
        <v>42846</v>
      </c>
      <c r="B2289" s="162">
        <v>70.16</v>
      </c>
    </row>
    <row r="2290" spans="1:2" ht="18" x14ac:dyDescent="0.2">
      <c r="A2290" s="163">
        <v>42845</v>
      </c>
      <c r="B2290" s="162">
        <v>71.03</v>
      </c>
    </row>
    <row r="2291" spans="1:2" ht="18" x14ac:dyDescent="0.2">
      <c r="A2291" s="163">
        <v>42844</v>
      </c>
      <c r="B2291" s="162">
        <v>69.989999999999995</v>
      </c>
    </row>
    <row r="2292" spans="1:2" ht="18" x14ac:dyDescent="0.2">
      <c r="A2292" s="163">
        <v>42843</v>
      </c>
      <c r="B2292" s="162">
        <v>69.540000000000006</v>
      </c>
    </row>
    <row r="2293" spans="1:2" ht="18" x14ac:dyDescent="0.2">
      <c r="A2293" s="163">
        <v>42842</v>
      </c>
      <c r="B2293" s="162">
        <v>69.069999999999993</v>
      </c>
    </row>
    <row r="2294" spans="1:2" ht="18" x14ac:dyDescent="0.2">
      <c r="A2294" s="163">
        <v>42838</v>
      </c>
      <c r="B2294" s="162">
        <v>68.48</v>
      </c>
    </row>
    <row r="2295" spans="1:2" ht="18" x14ac:dyDescent="0.2">
      <c r="A2295" s="163">
        <v>42837</v>
      </c>
      <c r="B2295" s="162">
        <v>68.760000000000005</v>
      </c>
    </row>
    <row r="2296" spans="1:2" ht="18" x14ac:dyDescent="0.2">
      <c r="A2296" s="163">
        <v>42836</v>
      </c>
      <c r="B2296" s="162">
        <v>70.2</v>
      </c>
    </row>
    <row r="2297" spans="1:2" ht="18" x14ac:dyDescent="0.2">
      <c r="A2297" s="163">
        <v>42835</v>
      </c>
      <c r="B2297" s="162">
        <v>70.64</v>
      </c>
    </row>
    <row r="2298" spans="1:2" ht="18" x14ac:dyDescent="0.2">
      <c r="A2298" s="163">
        <v>42832</v>
      </c>
      <c r="B2298" s="162">
        <v>71.33</v>
      </c>
    </row>
    <row r="2299" spans="1:2" ht="18" x14ac:dyDescent="0.2">
      <c r="A2299" s="163">
        <v>42831</v>
      </c>
      <c r="B2299" s="162">
        <v>69.290000000000006</v>
      </c>
    </row>
    <row r="2300" spans="1:2" ht="18" x14ac:dyDescent="0.2">
      <c r="A2300" s="163">
        <v>42830</v>
      </c>
      <c r="B2300" s="162">
        <v>68.599999999999994</v>
      </c>
    </row>
    <row r="2301" spans="1:2" ht="18" x14ac:dyDescent="0.2">
      <c r="A2301" s="163">
        <v>42829</v>
      </c>
      <c r="B2301" s="162">
        <v>68.319999999999993</v>
      </c>
    </row>
    <row r="2302" spans="1:2" ht="18" x14ac:dyDescent="0.2">
      <c r="A2302" s="163">
        <v>42828</v>
      </c>
      <c r="B2302" s="162">
        <v>68.05</v>
      </c>
    </row>
    <row r="2303" spans="1:2" ht="18" x14ac:dyDescent="0.2">
      <c r="A2303" s="163">
        <v>42825</v>
      </c>
      <c r="B2303" s="162">
        <v>68.56</v>
      </c>
    </row>
    <row r="2304" spans="1:2" ht="18" x14ac:dyDescent="0.2">
      <c r="A2304" s="163">
        <v>42824</v>
      </c>
      <c r="B2304" s="162">
        <v>69.08</v>
      </c>
    </row>
    <row r="2305" spans="1:2" ht="18" x14ac:dyDescent="0.2">
      <c r="A2305" s="163">
        <v>42823</v>
      </c>
      <c r="B2305" s="162">
        <v>67.849999999999994</v>
      </c>
    </row>
    <row r="2306" spans="1:2" ht="18" x14ac:dyDescent="0.2">
      <c r="A2306" s="163">
        <v>42822</v>
      </c>
      <c r="B2306" s="162">
        <v>68.25</v>
      </c>
    </row>
    <row r="2307" spans="1:2" ht="18" x14ac:dyDescent="0.2">
      <c r="A2307" s="163">
        <v>42821</v>
      </c>
      <c r="B2307" s="162">
        <v>68.37</v>
      </c>
    </row>
    <row r="2308" spans="1:2" ht="18" x14ac:dyDescent="0.2">
      <c r="A2308" s="163">
        <v>42818</v>
      </c>
      <c r="B2308" s="162">
        <v>67.64</v>
      </c>
    </row>
    <row r="2309" spans="1:2" ht="18" x14ac:dyDescent="0.2">
      <c r="A2309" s="163">
        <v>42817</v>
      </c>
      <c r="B2309" s="162">
        <v>66.83</v>
      </c>
    </row>
    <row r="2310" spans="1:2" ht="18" x14ac:dyDescent="0.2">
      <c r="A2310" s="163">
        <v>42816</v>
      </c>
      <c r="B2310" s="162">
        <v>66.53</v>
      </c>
    </row>
    <row r="2311" spans="1:2" ht="18" x14ac:dyDescent="0.2">
      <c r="A2311" s="163">
        <v>42815</v>
      </c>
      <c r="B2311" s="162">
        <v>65.53</v>
      </c>
    </row>
    <row r="2312" spans="1:2" ht="18" x14ac:dyDescent="0.2">
      <c r="A2312" s="163">
        <v>42814</v>
      </c>
      <c r="B2312" s="162">
        <v>67.58</v>
      </c>
    </row>
    <row r="2313" spans="1:2" ht="18" x14ac:dyDescent="0.2">
      <c r="A2313" s="163">
        <v>42811</v>
      </c>
      <c r="B2313" s="162">
        <v>67.42</v>
      </c>
    </row>
    <row r="2314" spans="1:2" ht="18" x14ac:dyDescent="0.2">
      <c r="A2314" s="163">
        <v>42810</v>
      </c>
      <c r="B2314" s="162">
        <v>68.22</v>
      </c>
    </row>
    <row r="2315" spans="1:2" ht="18" x14ac:dyDescent="0.2">
      <c r="A2315" s="163">
        <v>42809</v>
      </c>
      <c r="B2315" s="162">
        <v>68.95</v>
      </c>
    </row>
    <row r="2316" spans="1:2" ht="18" x14ac:dyDescent="0.2">
      <c r="A2316" s="163">
        <v>42808</v>
      </c>
      <c r="B2316" s="162">
        <v>67.849999999999994</v>
      </c>
    </row>
    <row r="2317" spans="1:2" ht="18" x14ac:dyDescent="0.2">
      <c r="A2317" s="163">
        <v>42807</v>
      </c>
      <c r="B2317" s="162">
        <v>67.680000000000007</v>
      </c>
    </row>
    <row r="2318" spans="1:2" ht="18" x14ac:dyDescent="0.2">
      <c r="A2318" s="163">
        <v>42804</v>
      </c>
      <c r="B2318" s="162">
        <v>67.11</v>
      </c>
    </row>
    <row r="2319" spans="1:2" ht="18" x14ac:dyDescent="0.2">
      <c r="A2319" s="163">
        <v>42803</v>
      </c>
      <c r="B2319" s="162">
        <v>66.650000000000006</v>
      </c>
    </row>
    <row r="2320" spans="1:2" ht="18" x14ac:dyDescent="0.2">
      <c r="A2320" s="163">
        <v>42802</v>
      </c>
      <c r="B2320" s="162">
        <v>66.400000000000006</v>
      </c>
    </row>
    <row r="2321" spans="1:2" ht="18" x14ac:dyDescent="0.2">
      <c r="A2321" s="163">
        <v>42801</v>
      </c>
      <c r="B2321" s="162">
        <v>66.89</v>
      </c>
    </row>
    <row r="2322" spans="1:2" ht="18" x14ac:dyDescent="0.2">
      <c r="A2322" s="163">
        <v>42800</v>
      </c>
      <c r="B2322" s="162">
        <v>66.42</v>
      </c>
    </row>
    <row r="2323" spans="1:2" ht="18" x14ac:dyDescent="0.2">
      <c r="A2323" s="163">
        <v>42797</v>
      </c>
      <c r="B2323" s="162">
        <v>66.209999999999994</v>
      </c>
    </row>
    <row r="2324" spans="1:2" ht="18" x14ac:dyDescent="0.2">
      <c r="A2324" s="163">
        <v>42796</v>
      </c>
      <c r="B2324" s="162">
        <v>66.11</v>
      </c>
    </row>
    <row r="2325" spans="1:2" ht="18" x14ac:dyDescent="0.2">
      <c r="A2325" s="163">
        <v>42795</v>
      </c>
      <c r="B2325" s="162">
        <v>67.849999999999994</v>
      </c>
    </row>
    <row r="2326" spans="1:2" ht="18" x14ac:dyDescent="0.2">
      <c r="A2326" s="163">
        <v>42794</v>
      </c>
      <c r="B2326" s="162">
        <v>66.099999999999994</v>
      </c>
    </row>
    <row r="2327" spans="1:2" ht="18" x14ac:dyDescent="0.2">
      <c r="A2327" s="163">
        <v>42793</v>
      </c>
      <c r="B2327" s="162">
        <v>67.62</v>
      </c>
    </row>
    <row r="2328" spans="1:2" ht="18" x14ac:dyDescent="0.2">
      <c r="A2328" s="163">
        <v>42790</v>
      </c>
      <c r="B2328" s="162">
        <v>66.19</v>
      </c>
    </row>
    <row r="2329" spans="1:2" ht="18" x14ac:dyDescent="0.2">
      <c r="A2329" s="163">
        <v>42789</v>
      </c>
      <c r="B2329" s="162">
        <v>67.2</v>
      </c>
    </row>
    <row r="2330" spans="1:2" ht="18" x14ac:dyDescent="0.2">
      <c r="A2330" s="163">
        <v>42788</v>
      </c>
      <c r="B2330" s="162">
        <v>67.55</v>
      </c>
    </row>
    <row r="2331" spans="1:2" ht="18" x14ac:dyDescent="0.2">
      <c r="A2331" s="163">
        <v>42787</v>
      </c>
      <c r="B2331" s="162">
        <v>67.569999999999993</v>
      </c>
    </row>
    <row r="2332" spans="1:2" ht="18" x14ac:dyDescent="0.2">
      <c r="A2332" s="163">
        <v>42783</v>
      </c>
      <c r="B2332" s="162">
        <v>67.12</v>
      </c>
    </row>
    <row r="2333" spans="1:2" ht="18" x14ac:dyDescent="0.2">
      <c r="A2333" s="163">
        <v>42782</v>
      </c>
      <c r="B2333" s="162">
        <v>67.150000000000006</v>
      </c>
    </row>
    <row r="2334" spans="1:2" ht="18" x14ac:dyDescent="0.2">
      <c r="A2334" s="163">
        <v>42781</v>
      </c>
      <c r="B2334" s="162">
        <v>67.17</v>
      </c>
    </row>
    <row r="2335" spans="1:2" ht="18" x14ac:dyDescent="0.2">
      <c r="A2335" s="163">
        <v>42780</v>
      </c>
      <c r="B2335" s="162">
        <v>66.44</v>
      </c>
    </row>
    <row r="2336" spans="1:2" ht="18" x14ac:dyDescent="0.2">
      <c r="A2336" s="163">
        <v>42779</v>
      </c>
      <c r="B2336" s="162">
        <v>66.53</v>
      </c>
    </row>
    <row r="2337" spans="1:2" ht="18" x14ac:dyDescent="0.2">
      <c r="A2337" s="163">
        <v>42776</v>
      </c>
      <c r="B2337" s="162">
        <v>66.27</v>
      </c>
    </row>
    <row r="2338" spans="1:2" ht="18" x14ac:dyDescent="0.2">
      <c r="A2338" s="163">
        <v>42775</v>
      </c>
      <c r="B2338" s="162">
        <v>66.28</v>
      </c>
    </row>
    <row r="2339" spans="1:2" ht="18" x14ac:dyDescent="0.2">
      <c r="A2339" s="163">
        <v>42774</v>
      </c>
      <c r="B2339" s="162">
        <v>66.2</v>
      </c>
    </row>
    <row r="2340" spans="1:2" ht="18" x14ac:dyDescent="0.2">
      <c r="A2340" s="163">
        <v>42773</v>
      </c>
      <c r="B2340" s="162">
        <v>64.75</v>
      </c>
    </row>
    <row r="2341" spans="1:2" ht="18" x14ac:dyDescent="0.2">
      <c r="A2341" s="163">
        <v>42772</v>
      </c>
      <c r="B2341" s="162">
        <v>64.36</v>
      </c>
    </row>
    <row r="2342" spans="1:2" ht="18" x14ac:dyDescent="0.2">
      <c r="A2342" s="163">
        <v>42769</v>
      </c>
      <c r="B2342" s="162">
        <v>63.96</v>
      </c>
    </row>
    <row r="2343" spans="1:2" ht="18" x14ac:dyDescent="0.2">
      <c r="A2343" s="163">
        <v>42768</v>
      </c>
      <c r="B2343" s="162">
        <v>63.35</v>
      </c>
    </row>
    <row r="2344" spans="1:2" ht="18" x14ac:dyDescent="0.2">
      <c r="A2344" s="163">
        <v>42767</v>
      </c>
      <c r="B2344" s="162">
        <v>64.55</v>
      </c>
    </row>
    <row r="2345" spans="1:2" ht="18" x14ac:dyDescent="0.2">
      <c r="A2345" s="163">
        <v>42766</v>
      </c>
      <c r="B2345" s="162">
        <v>64.209999999999994</v>
      </c>
    </row>
    <row r="2346" spans="1:2" ht="18" x14ac:dyDescent="0.2">
      <c r="A2346" s="163">
        <v>42765</v>
      </c>
      <c r="B2346" s="162">
        <v>64.290000000000006</v>
      </c>
    </row>
    <row r="2347" spans="1:2" ht="18" x14ac:dyDescent="0.2">
      <c r="A2347" s="163">
        <v>42762</v>
      </c>
      <c r="B2347" s="162">
        <v>63.65</v>
      </c>
    </row>
    <row r="2348" spans="1:2" ht="18" x14ac:dyDescent="0.2">
      <c r="A2348" s="163">
        <v>42761</v>
      </c>
      <c r="B2348" s="162">
        <v>63.34</v>
      </c>
    </row>
    <row r="2349" spans="1:2" ht="18" x14ac:dyDescent="0.2">
      <c r="A2349" s="163">
        <v>42760</v>
      </c>
      <c r="B2349" s="162">
        <v>64.040000000000006</v>
      </c>
    </row>
    <row r="2350" spans="1:2" ht="18" x14ac:dyDescent="0.2">
      <c r="A2350" s="163">
        <v>42759</v>
      </c>
      <c r="B2350" s="162">
        <v>62.5</v>
      </c>
    </row>
    <row r="2351" spans="1:2" ht="18" x14ac:dyDescent="0.2">
      <c r="A2351" s="163">
        <v>42758</v>
      </c>
      <c r="B2351" s="162">
        <v>61.85</v>
      </c>
    </row>
    <row r="2352" spans="1:2" ht="18" x14ac:dyDescent="0.2">
      <c r="A2352" s="163">
        <v>42755</v>
      </c>
      <c r="B2352" s="162">
        <v>61.02</v>
      </c>
    </row>
    <row r="2353" spans="1:2" ht="18" x14ac:dyDescent="0.2">
      <c r="A2353" s="163">
        <v>42754</v>
      </c>
      <c r="B2353" s="162">
        <v>58.31</v>
      </c>
    </row>
    <row r="2354" spans="1:2" ht="18" x14ac:dyDescent="0.2">
      <c r="A2354" s="163">
        <v>42753</v>
      </c>
      <c r="B2354" s="162">
        <v>59.17</v>
      </c>
    </row>
    <row r="2355" spans="1:2" ht="18" x14ac:dyDescent="0.2">
      <c r="A2355" s="163">
        <v>42752</v>
      </c>
      <c r="B2355" s="162">
        <v>57.26</v>
      </c>
    </row>
    <row r="2356" spans="1:2" ht="18" x14ac:dyDescent="0.2">
      <c r="A2356" s="163">
        <v>42748</v>
      </c>
      <c r="B2356" s="162">
        <v>58.57</v>
      </c>
    </row>
    <row r="2357" spans="1:2" ht="18" x14ac:dyDescent="0.2">
      <c r="A2357" s="163">
        <v>42747</v>
      </c>
      <c r="B2357" s="162">
        <v>56.84</v>
      </c>
    </row>
    <row r="2358" spans="1:2" ht="18" x14ac:dyDescent="0.2">
      <c r="A2358" s="163">
        <v>42746</v>
      </c>
      <c r="B2358" s="162">
        <v>56.8</v>
      </c>
    </row>
    <row r="2359" spans="1:2" ht="18" x14ac:dyDescent="0.2">
      <c r="A2359" s="163">
        <v>42745</v>
      </c>
      <c r="B2359" s="162">
        <v>56.4</v>
      </c>
    </row>
    <row r="2360" spans="1:2" ht="18" x14ac:dyDescent="0.2">
      <c r="A2360" s="163">
        <v>42744</v>
      </c>
      <c r="B2360" s="162">
        <v>54.37</v>
      </c>
    </row>
    <row r="2361" spans="1:2" ht="18" x14ac:dyDescent="0.2">
      <c r="A2361" s="163">
        <v>42741</v>
      </c>
      <c r="B2361" s="162">
        <v>53.86</v>
      </c>
    </row>
    <row r="2362" spans="1:2" ht="18" x14ac:dyDescent="0.2">
      <c r="A2362" s="163">
        <v>42740</v>
      </c>
      <c r="B2362" s="162">
        <v>53.36</v>
      </c>
    </row>
    <row r="2363" spans="1:2" ht="18" x14ac:dyDescent="0.2">
      <c r="A2363" s="163">
        <v>42739</v>
      </c>
      <c r="B2363" s="162">
        <v>54.51</v>
      </c>
    </row>
    <row r="2364" spans="1:2" ht="18" x14ac:dyDescent="0.2">
      <c r="A2364" s="163">
        <v>42738</v>
      </c>
      <c r="B2364" s="162">
        <v>52.9</v>
      </c>
    </row>
    <row r="2365" spans="1:2" ht="18" x14ac:dyDescent="0.2">
      <c r="A2365" s="163">
        <v>42734</v>
      </c>
      <c r="B2365" s="162">
        <v>52.73</v>
      </c>
    </row>
    <row r="2366" spans="1:2" ht="18" x14ac:dyDescent="0.2">
      <c r="A2366" s="163">
        <v>42733</v>
      </c>
      <c r="B2366" s="162">
        <v>53.61</v>
      </c>
    </row>
    <row r="2367" spans="1:2" ht="18" x14ac:dyDescent="0.2">
      <c r="A2367" s="163">
        <v>42732</v>
      </c>
      <c r="B2367" s="162">
        <v>54.7</v>
      </c>
    </row>
    <row r="2368" spans="1:2" ht="18" x14ac:dyDescent="0.2">
      <c r="A2368" s="163">
        <v>42731</v>
      </c>
      <c r="B2368" s="162">
        <v>55.54</v>
      </c>
    </row>
    <row r="2369" spans="1:2" ht="18" x14ac:dyDescent="0.2">
      <c r="A2369" s="163">
        <v>42727</v>
      </c>
      <c r="B2369" s="162">
        <v>55.53</v>
      </c>
    </row>
    <row r="2370" spans="1:2" ht="18" x14ac:dyDescent="0.2">
      <c r="A2370" s="163">
        <v>42726</v>
      </c>
      <c r="B2370" s="162">
        <v>55.1</v>
      </c>
    </row>
    <row r="2371" spans="1:2" ht="18" x14ac:dyDescent="0.2">
      <c r="A2371" s="163">
        <v>42725</v>
      </c>
      <c r="B2371" s="162">
        <v>54.99</v>
      </c>
    </row>
    <row r="2372" spans="1:2" ht="18" x14ac:dyDescent="0.2">
      <c r="A2372" s="163">
        <v>42724</v>
      </c>
      <c r="B2372" s="162">
        <v>54.74</v>
      </c>
    </row>
    <row r="2373" spans="1:2" ht="18" x14ac:dyDescent="0.2">
      <c r="A2373" s="163">
        <v>42723</v>
      </c>
      <c r="B2373" s="162">
        <v>55.45</v>
      </c>
    </row>
    <row r="2374" spans="1:2" ht="18" x14ac:dyDescent="0.2">
      <c r="A2374" s="163">
        <v>42720</v>
      </c>
      <c r="B2374" s="162">
        <v>54.69</v>
      </c>
    </row>
    <row r="2375" spans="1:2" ht="18" x14ac:dyDescent="0.2">
      <c r="A2375" s="163">
        <v>42719</v>
      </c>
      <c r="B2375" s="162">
        <v>55.69</v>
      </c>
    </row>
    <row r="2376" spans="1:2" ht="18" x14ac:dyDescent="0.2">
      <c r="A2376" s="163">
        <v>42718</v>
      </c>
      <c r="B2376" s="162">
        <v>53.59</v>
      </c>
    </row>
    <row r="2377" spans="1:2" ht="18" x14ac:dyDescent="0.2">
      <c r="A2377" s="163">
        <v>42717</v>
      </c>
      <c r="B2377" s="162">
        <v>54.78</v>
      </c>
    </row>
    <row r="2378" spans="1:2" ht="18" x14ac:dyDescent="0.2">
      <c r="A2378" s="163">
        <v>42716</v>
      </c>
      <c r="B2378" s="162">
        <v>54.79</v>
      </c>
    </row>
    <row r="2379" spans="1:2" ht="18" x14ac:dyDescent="0.2">
      <c r="A2379" s="163">
        <v>42713</v>
      </c>
      <c r="B2379" s="162">
        <v>56.48</v>
      </c>
    </row>
    <row r="2380" spans="1:2" ht="18" x14ac:dyDescent="0.2">
      <c r="A2380" s="163">
        <v>42712</v>
      </c>
      <c r="B2380" s="162">
        <v>57.81</v>
      </c>
    </row>
    <row r="2381" spans="1:2" ht="18" x14ac:dyDescent="0.2">
      <c r="A2381" s="163">
        <v>42711</v>
      </c>
      <c r="B2381" s="162">
        <v>55.14</v>
      </c>
    </row>
    <row r="2382" spans="1:2" ht="18" x14ac:dyDescent="0.2">
      <c r="A2382" s="163">
        <v>42710</v>
      </c>
      <c r="B2382" s="162">
        <v>54.06</v>
      </c>
    </row>
    <row r="2383" spans="1:2" ht="18" x14ac:dyDescent="0.2">
      <c r="A2383" s="163">
        <v>42709</v>
      </c>
      <c r="B2383" s="162">
        <v>52.48</v>
      </c>
    </row>
    <row r="2384" spans="1:2" ht="18" x14ac:dyDescent="0.2">
      <c r="A2384" s="163">
        <v>42706</v>
      </c>
      <c r="B2384" s="162">
        <v>50.54</v>
      </c>
    </row>
    <row r="2385" spans="1:2" ht="18" x14ac:dyDescent="0.2">
      <c r="A2385" s="163">
        <v>42705</v>
      </c>
      <c r="B2385" s="162">
        <v>50.03</v>
      </c>
    </row>
    <row r="2386" spans="1:2" ht="18" x14ac:dyDescent="0.2">
      <c r="A2386" s="163">
        <v>42704</v>
      </c>
      <c r="B2386" s="162">
        <v>53.41</v>
      </c>
    </row>
    <row r="2387" spans="1:2" ht="18" x14ac:dyDescent="0.2">
      <c r="A2387" s="163">
        <v>42703</v>
      </c>
      <c r="B2387" s="162">
        <v>54.28</v>
      </c>
    </row>
    <row r="2388" spans="1:2" ht="18" x14ac:dyDescent="0.2">
      <c r="A2388" s="163">
        <v>42702</v>
      </c>
      <c r="B2388" s="162">
        <v>54.86</v>
      </c>
    </row>
    <row r="2389" spans="1:2" ht="18" x14ac:dyDescent="0.2">
      <c r="A2389" s="163">
        <v>42699</v>
      </c>
      <c r="B2389" s="162">
        <v>54.9</v>
      </c>
    </row>
    <row r="2390" spans="1:2" ht="18" x14ac:dyDescent="0.2">
      <c r="A2390" s="163">
        <v>42697</v>
      </c>
      <c r="B2390" s="162">
        <v>54.61</v>
      </c>
    </row>
    <row r="2391" spans="1:2" ht="18" x14ac:dyDescent="0.2">
      <c r="A2391" s="163">
        <v>42696</v>
      </c>
      <c r="B2391" s="162">
        <v>55.3</v>
      </c>
    </row>
    <row r="2392" spans="1:2" ht="18" x14ac:dyDescent="0.2">
      <c r="A2392" s="163">
        <v>42695</v>
      </c>
      <c r="B2392" s="162">
        <v>54.95</v>
      </c>
    </row>
    <row r="2393" spans="1:2" ht="18" x14ac:dyDescent="0.2">
      <c r="A2393" s="163">
        <v>42692</v>
      </c>
      <c r="B2393" s="162">
        <v>55.28</v>
      </c>
    </row>
    <row r="2394" spans="1:2" ht="18" x14ac:dyDescent="0.2">
      <c r="A2394" s="163">
        <v>42691</v>
      </c>
      <c r="B2394" s="162">
        <v>55.55</v>
      </c>
    </row>
    <row r="2395" spans="1:2" ht="18" x14ac:dyDescent="0.2">
      <c r="A2395" s="163">
        <v>42690</v>
      </c>
      <c r="B2395" s="162">
        <v>54.4</v>
      </c>
    </row>
    <row r="2396" spans="1:2" ht="18" x14ac:dyDescent="0.2">
      <c r="A2396" s="163">
        <v>42689</v>
      </c>
      <c r="B2396" s="162">
        <v>54.3</v>
      </c>
    </row>
    <row r="2397" spans="1:2" ht="18" x14ac:dyDescent="0.2">
      <c r="A2397" s="163">
        <v>42688</v>
      </c>
      <c r="B2397" s="162">
        <v>52.74</v>
      </c>
    </row>
    <row r="2398" spans="1:2" ht="18" x14ac:dyDescent="0.2">
      <c r="A2398" s="163">
        <v>42685</v>
      </c>
      <c r="B2398" s="162">
        <v>53.52</v>
      </c>
    </row>
    <row r="2399" spans="1:2" ht="18" x14ac:dyDescent="0.2">
      <c r="A2399" s="163">
        <v>42684</v>
      </c>
      <c r="B2399" s="162">
        <v>51.56</v>
      </c>
    </row>
    <row r="2400" spans="1:2" ht="18" x14ac:dyDescent="0.2">
      <c r="A2400" s="163">
        <v>42683</v>
      </c>
      <c r="B2400" s="162">
        <v>51.78</v>
      </c>
    </row>
    <row r="2401" spans="1:2" ht="18" x14ac:dyDescent="0.2">
      <c r="A2401" s="163">
        <v>42682</v>
      </c>
      <c r="B2401" s="162">
        <v>50.96</v>
      </c>
    </row>
    <row r="2402" spans="1:2" ht="18" x14ac:dyDescent="0.2">
      <c r="A2402" s="163">
        <v>42681</v>
      </c>
      <c r="B2402" s="162">
        <v>50.47</v>
      </c>
    </row>
    <row r="2403" spans="1:2" ht="18" x14ac:dyDescent="0.2">
      <c r="A2403" s="163">
        <v>42678</v>
      </c>
      <c r="B2403" s="162">
        <v>51.08</v>
      </c>
    </row>
    <row r="2404" spans="1:2" ht="18" x14ac:dyDescent="0.2">
      <c r="A2404" s="163">
        <v>42677</v>
      </c>
      <c r="B2404" s="162">
        <v>56.74</v>
      </c>
    </row>
    <row r="2405" spans="1:2" ht="18" x14ac:dyDescent="0.2">
      <c r="A2405" s="163">
        <v>42676</v>
      </c>
      <c r="B2405" s="162">
        <v>56.06</v>
      </c>
    </row>
    <row r="2406" spans="1:2" ht="18" x14ac:dyDescent="0.2">
      <c r="A2406" s="163">
        <v>42675</v>
      </c>
      <c r="B2406" s="162">
        <v>56.01</v>
      </c>
    </row>
    <row r="2407" spans="1:2" ht="18" x14ac:dyDescent="0.2">
      <c r="A2407" s="163">
        <v>42674</v>
      </c>
      <c r="B2407" s="162">
        <v>55.65</v>
      </c>
    </row>
    <row r="2408" spans="1:2" ht="18" x14ac:dyDescent="0.2">
      <c r="A2408" s="163">
        <v>42671</v>
      </c>
      <c r="B2408" s="162">
        <v>54.18</v>
      </c>
    </row>
    <row r="2409" spans="1:2" ht="18" x14ac:dyDescent="0.2">
      <c r="A2409" s="163">
        <v>42670</v>
      </c>
      <c r="B2409" s="162">
        <v>55.59</v>
      </c>
    </row>
    <row r="2410" spans="1:2" ht="18" x14ac:dyDescent="0.2">
      <c r="A2410" s="163">
        <v>42669</v>
      </c>
      <c r="B2410" s="162">
        <v>56.65</v>
      </c>
    </row>
    <row r="2411" spans="1:2" ht="18" x14ac:dyDescent="0.2">
      <c r="A2411" s="163">
        <v>42668</v>
      </c>
      <c r="B2411" s="162">
        <v>56.33</v>
      </c>
    </row>
    <row r="2412" spans="1:2" ht="18" x14ac:dyDescent="0.2">
      <c r="A2412" s="163">
        <v>42667</v>
      </c>
      <c r="B2412" s="162">
        <v>57.29</v>
      </c>
    </row>
    <row r="2413" spans="1:2" ht="18" x14ac:dyDescent="0.2">
      <c r="A2413" s="163">
        <v>42664</v>
      </c>
      <c r="B2413" s="162">
        <v>54.7</v>
      </c>
    </row>
    <row r="2414" spans="1:2" ht="18" x14ac:dyDescent="0.2">
      <c r="A2414" s="163">
        <v>42663</v>
      </c>
      <c r="B2414" s="162">
        <v>54.88</v>
      </c>
    </row>
    <row r="2415" spans="1:2" ht="18" x14ac:dyDescent="0.2">
      <c r="A2415" s="163">
        <v>42662</v>
      </c>
      <c r="B2415" s="162">
        <v>54.35</v>
      </c>
    </row>
    <row r="2416" spans="1:2" ht="18" x14ac:dyDescent="0.2">
      <c r="A2416" s="163">
        <v>42661</v>
      </c>
      <c r="B2416" s="162">
        <v>53.59</v>
      </c>
    </row>
    <row r="2417" spans="1:2" ht="18" x14ac:dyDescent="0.2">
      <c r="A2417" s="163">
        <v>42660</v>
      </c>
      <c r="B2417" s="162">
        <v>52.65</v>
      </c>
    </row>
    <row r="2418" spans="1:2" ht="18" x14ac:dyDescent="0.2">
      <c r="A2418" s="163">
        <v>42657</v>
      </c>
      <c r="B2418" s="162">
        <v>53</v>
      </c>
    </row>
    <row r="2419" spans="1:2" ht="18" x14ac:dyDescent="0.2">
      <c r="A2419" s="163">
        <v>42656</v>
      </c>
      <c r="B2419" s="162">
        <v>52.91</v>
      </c>
    </row>
    <row r="2420" spans="1:2" ht="18" x14ac:dyDescent="0.2">
      <c r="A2420" s="163">
        <v>42655</v>
      </c>
      <c r="B2420" s="162">
        <v>55.21</v>
      </c>
    </row>
    <row r="2421" spans="1:2" ht="18" x14ac:dyDescent="0.2">
      <c r="A2421" s="163">
        <v>42654</v>
      </c>
      <c r="B2421" s="162">
        <v>55.52</v>
      </c>
    </row>
    <row r="2422" spans="1:2" ht="18" x14ac:dyDescent="0.2">
      <c r="A2422" s="163">
        <v>42653</v>
      </c>
      <c r="B2422" s="162">
        <v>56.02</v>
      </c>
    </row>
    <row r="2423" spans="1:2" ht="18" x14ac:dyDescent="0.2">
      <c r="A2423" s="163">
        <v>42650</v>
      </c>
      <c r="B2423" s="162">
        <v>56.64</v>
      </c>
    </row>
    <row r="2424" spans="1:2" ht="18" x14ac:dyDescent="0.2">
      <c r="A2424" s="163">
        <v>42649</v>
      </c>
      <c r="B2424" s="162">
        <v>55.34</v>
      </c>
    </row>
    <row r="2425" spans="1:2" ht="18" x14ac:dyDescent="0.2">
      <c r="A2425" s="163">
        <v>42648</v>
      </c>
      <c r="B2425" s="162">
        <v>54.5</v>
      </c>
    </row>
    <row r="2426" spans="1:2" ht="18" x14ac:dyDescent="0.2">
      <c r="A2426" s="163">
        <v>42647</v>
      </c>
      <c r="B2426" s="162">
        <v>54.25</v>
      </c>
    </row>
    <row r="2427" spans="1:2" ht="18" x14ac:dyDescent="0.2">
      <c r="A2427" s="163">
        <v>42646</v>
      </c>
      <c r="B2427" s="162">
        <v>54.15</v>
      </c>
    </row>
    <row r="2428" spans="1:2" ht="18" x14ac:dyDescent="0.2">
      <c r="A2428" s="163">
        <v>42643</v>
      </c>
      <c r="B2428" s="162">
        <v>55.74</v>
      </c>
    </row>
    <row r="2429" spans="1:2" ht="18" x14ac:dyDescent="0.2">
      <c r="A2429" s="163">
        <v>42642</v>
      </c>
      <c r="B2429" s="162">
        <v>53.68</v>
      </c>
    </row>
    <row r="2430" spans="1:2" ht="18" x14ac:dyDescent="0.2">
      <c r="A2430" s="163">
        <v>42641</v>
      </c>
      <c r="B2430" s="162">
        <v>54.62</v>
      </c>
    </row>
    <row r="2431" spans="1:2" ht="18" x14ac:dyDescent="0.2">
      <c r="A2431" s="163">
        <v>42640</v>
      </c>
      <c r="B2431" s="162">
        <v>54.6</v>
      </c>
    </row>
    <row r="2432" spans="1:2" ht="18" x14ac:dyDescent="0.2">
      <c r="A2432" s="163">
        <v>42639</v>
      </c>
      <c r="B2432" s="162">
        <v>53.99</v>
      </c>
    </row>
    <row r="2433" spans="1:2" ht="18" x14ac:dyDescent="0.2">
      <c r="A2433" s="163">
        <v>42636</v>
      </c>
      <c r="B2433" s="162">
        <v>54.87</v>
      </c>
    </row>
    <row r="2434" spans="1:2" ht="18" x14ac:dyDescent="0.2">
      <c r="A2434" s="163">
        <v>42635</v>
      </c>
      <c r="B2434" s="162">
        <v>56.52</v>
      </c>
    </row>
    <row r="2435" spans="1:2" ht="18" x14ac:dyDescent="0.2">
      <c r="A2435" s="163">
        <v>42634</v>
      </c>
      <c r="B2435" s="162">
        <v>56.07</v>
      </c>
    </row>
    <row r="2436" spans="1:2" ht="18" x14ac:dyDescent="0.2">
      <c r="A2436" s="163">
        <v>42633</v>
      </c>
      <c r="B2436" s="162">
        <v>54.75</v>
      </c>
    </row>
    <row r="2437" spans="1:2" ht="18" x14ac:dyDescent="0.2">
      <c r="A2437" s="163">
        <v>42632</v>
      </c>
      <c r="B2437" s="162">
        <v>56.33</v>
      </c>
    </row>
    <row r="2438" spans="1:2" ht="18" x14ac:dyDescent="0.2">
      <c r="A2438" s="163">
        <v>42629</v>
      </c>
      <c r="B2438" s="162">
        <v>55.76</v>
      </c>
    </row>
    <row r="2439" spans="1:2" ht="18" x14ac:dyDescent="0.2">
      <c r="A2439" s="163">
        <v>42628</v>
      </c>
      <c r="B2439" s="162">
        <v>56.53</v>
      </c>
    </row>
    <row r="2440" spans="1:2" ht="18" x14ac:dyDescent="0.2">
      <c r="A2440" s="163">
        <v>42627</v>
      </c>
      <c r="B2440" s="162">
        <v>55.11</v>
      </c>
    </row>
    <row r="2441" spans="1:2" ht="18" x14ac:dyDescent="0.2">
      <c r="A2441" s="163">
        <v>42626</v>
      </c>
      <c r="B2441" s="162">
        <v>53.92</v>
      </c>
    </row>
    <row r="2442" spans="1:2" ht="18" x14ac:dyDescent="0.2">
      <c r="A2442" s="163">
        <v>42625</v>
      </c>
      <c r="B2442" s="162">
        <v>53.76</v>
      </c>
    </row>
    <row r="2443" spans="1:2" ht="18" x14ac:dyDescent="0.2">
      <c r="A2443" s="163">
        <v>42622</v>
      </c>
      <c r="B2443" s="162">
        <v>52.48</v>
      </c>
    </row>
    <row r="2444" spans="1:2" ht="18" x14ac:dyDescent="0.2">
      <c r="A2444" s="163">
        <v>42621</v>
      </c>
      <c r="B2444" s="162">
        <v>55.43</v>
      </c>
    </row>
    <row r="2445" spans="1:2" ht="18" x14ac:dyDescent="0.2">
      <c r="A2445" s="163">
        <v>42620</v>
      </c>
      <c r="B2445" s="162">
        <v>55.93</v>
      </c>
    </row>
    <row r="2446" spans="1:2" ht="18" x14ac:dyDescent="0.2">
      <c r="A2446" s="163">
        <v>42619</v>
      </c>
      <c r="B2446" s="162">
        <v>56.02</v>
      </c>
    </row>
    <row r="2447" spans="1:2" ht="18" x14ac:dyDescent="0.2">
      <c r="A2447" s="163">
        <v>42615</v>
      </c>
      <c r="B2447" s="162">
        <v>57.6</v>
      </c>
    </row>
    <row r="2448" spans="1:2" ht="18" x14ac:dyDescent="0.2">
      <c r="A2448" s="163">
        <v>42614</v>
      </c>
      <c r="B2448" s="162">
        <v>57.75</v>
      </c>
    </row>
    <row r="2449" spans="1:2" ht="18" x14ac:dyDescent="0.2">
      <c r="A2449" s="163">
        <v>42613</v>
      </c>
      <c r="B2449" s="162">
        <v>57.43</v>
      </c>
    </row>
    <row r="2450" spans="1:2" ht="18" x14ac:dyDescent="0.2">
      <c r="A2450" s="163">
        <v>42612</v>
      </c>
      <c r="B2450" s="162">
        <v>57.69</v>
      </c>
    </row>
    <row r="2451" spans="1:2" ht="18" x14ac:dyDescent="0.2">
      <c r="A2451" s="163">
        <v>42611</v>
      </c>
      <c r="B2451" s="162">
        <v>57.87</v>
      </c>
    </row>
    <row r="2452" spans="1:2" ht="18" x14ac:dyDescent="0.2">
      <c r="A2452" s="163">
        <v>42608</v>
      </c>
      <c r="B2452" s="162">
        <v>57.62</v>
      </c>
    </row>
    <row r="2453" spans="1:2" ht="18" x14ac:dyDescent="0.2">
      <c r="A2453" s="163">
        <v>42607</v>
      </c>
      <c r="B2453" s="162">
        <v>57.94</v>
      </c>
    </row>
    <row r="2454" spans="1:2" ht="18" x14ac:dyDescent="0.2">
      <c r="A2454" s="163">
        <v>42606</v>
      </c>
      <c r="B2454" s="162">
        <v>57.31</v>
      </c>
    </row>
    <row r="2455" spans="1:2" ht="18" x14ac:dyDescent="0.2">
      <c r="A2455" s="163">
        <v>42605</v>
      </c>
      <c r="B2455" s="162">
        <v>56.03</v>
      </c>
    </row>
    <row r="2456" spans="1:2" ht="18" x14ac:dyDescent="0.2">
      <c r="A2456" s="163">
        <v>42604</v>
      </c>
      <c r="B2456" s="162">
        <v>55.98</v>
      </c>
    </row>
    <row r="2457" spans="1:2" ht="18" x14ac:dyDescent="0.2">
      <c r="A2457" s="163">
        <v>42601</v>
      </c>
      <c r="B2457" s="162">
        <v>56.23</v>
      </c>
    </row>
    <row r="2458" spans="1:2" ht="18" x14ac:dyDescent="0.2">
      <c r="A2458" s="163">
        <v>42600</v>
      </c>
      <c r="B2458" s="162">
        <v>55.2</v>
      </c>
    </row>
    <row r="2459" spans="1:2" ht="18" x14ac:dyDescent="0.2">
      <c r="A2459" s="163">
        <v>42599</v>
      </c>
      <c r="B2459" s="162">
        <v>54.56</v>
      </c>
    </row>
    <row r="2460" spans="1:2" ht="18" x14ac:dyDescent="0.2">
      <c r="A2460" s="163">
        <v>42598</v>
      </c>
      <c r="B2460" s="162">
        <v>55.28</v>
      </c>
    </row>
    <row r="2461" spans="1:2" ht="18" x14ac:dyDescent="0.2">
      <c r="A2461" s="163">
        <v>42597</v>
      </c>
      <c r="B2461" s="162">
        <v>55.77</v>
      </c>
    </row>
    <row r="2462" spans="1:2" ht="18" x14ac:dyDescent="0.2">
      <c r="A2462" s="163">
        <v>42594</v>
      </c>
      <c r="B2462" s="162">
        <v>54.59</v>
      </c>
    </row>
    <row r="2463" spans="1:2" ht="18" x14ac:dyDescent="0.2">
      <c r="A2463" s="163">
        <v>42593</v>
      </c>
      <c r="B2463" s="162">
        <v>54.48</v>
      </c>
    </row>
    <row r="2464" spans="1:2" ht="18" x14ac:dyDescent="0.2">
      <c r="A2464" s="163">
        <v>42592</v>
      </c>
      <c r="B2464" s="162">
        <v>54.14</v>
      </c>
    </row>
    <row r="2465" spans="1:2" ht="18" x14ac:dyDescent="0.2">
      <c r="A2465" s="163">
        <v>42591</v>
      </c>
      <c r="B2465" s="162">
        <v>54.49</v>
      </c>
    </row>
    <row r="2466" spans="1:2" ht="18" x14ac:dyDescent="0.2">
      <c r="A2466" s="163">
        <v>42590</v>
      </c>
      <c r="B2466" s="162">
        <v>54.3</v>
      </c>
    </row>
    <row r="2467" spans="1:2" ht="18" x14ac:dyDescent="0.2">
      <c r="A2467" s="163">
        <v>42587</v>
      </c>
      <c r="B2467" s="162">
        <v>55.05</v>
      </c>
    </row>
    <row r="2468" spans="1:2" ht="18" x14ac:dyDescent="0.2">
      <c r="A2468" s="163">
        <v>42586</v>
      </c>
      <c r="B2468" s="162">
        <v>53.41</v>
      </c>
    </row>
    <row r="2469" spans="1:2" ht="18" x14ac:dyDescent="0.2">
      <c r="A2469" s="163">
        <v>42585</v>
      </c>
      <c r="B2469" s="162">
        <v>55.12</v>
      </c>
    </row>
    <row r="2470" spans="1:2" ht="18" x14ac:dyDescent="0.2">
      <c r="A2470" s="163">
        <v>42584</v>
      </c>
      <c r="B2470" s="162">
        <v>61.45</v>
      </c>
    </row>
    <row r="2471" spans="1:2" ht="18" x14ac:dyDescent="0.2">
      <c r="A2471" s="163">
        <v>42583</v>
      </c>
      <c r="B2471" s="162">
        <v>63.47</v>
      </c>
    </row>
    <row r="2472" spans="1:2" ht="18" x14ac:dyDescent="0.2">
      <c r="A2472" s="163">
        <v>42580</v>
      </c>
      <c r="B2472" s="162">
        <v>63.23</v>
      </c>
    </row>
    <row r="2473" spans="1:2" ht="18" x14ac:dyDescent="0.2">
      <c r="A2473" s="163">
        <v>42579</v>
      </c>
      <c r="B2473" s="162">
        <v>63.1</v>
      </c>
    </row>
    <row r="2474" spans="1:2" ht="18" x14ac:dyDescent="0.2">
      <c r="A2474" s="163">
        <v>42578</v>
      </c>
      <c r="B2474" s="162">
        <v>63.01</v>
      </c>
    </row>
    <row r="2475" spans="1:2" ht="18" x14ac:dyDescent="0.2">
      <c r="A2475" s="163">
        <v>42577</v>
      </c>
      <c r="B2475" s="162">
        <v>60.38</v>
      </c>
    </row>
    <row r="2476" spans="1:2" ht="18" x14ac:dyDescent="0.2">
      <c r="A2476" s="163">
        <v>42576</v>
      </c>
      <c r="B2476" s="162">
        <v>60.62</v>
      </c>
    </row>
    <row r="2477" spans="1:2" ht="18" x14ac:dyDescent="0.2">
      <c r="A2477" s="163">
        <v>42573</v>
      </c>
      <c r="B2477" s="162">
        <v>60.56</v>
      </c>
    </row>
    <row r="2478" spans="1:2" ht="18" x14ac:dyDescent="0.2">
      <c r="A2478" s="163">
        <v>42572</v>
      </c>
      <c r="B2478" s="162">
        <v>60.1</v>
      </c>
    </row>
    <row r="2479" spans="1:2" ht="18" x14ac:dyDescent="0.2">
      <c r="A2479" s="163">
        <v>42571</v>
      </c>
      <c r="B2479" s="162">
        <v>60.8</v>
      </c>
    </row>
    <row r="2480" spans="1:2" ht="18" x14ac:dyDescent="0.2">
      <c r="A2480" s="163">
        <v>42570</v>
      </c>
      <c r="B2480" s="162">
        <v>60.4</v>
      </c>
    </row>
    <row r="2481" spans="1:2" ht="18" x14ac:dyDescent="0.2">
      <c r="A2481" s="163">
        <v>42569</v>
      </c>
      <c r="B2481" s="162">
        <v>60.66</v>
      </c>
    </row>
    <row r="2482" spans="1:2" ht="18" x14ac:dyDescent="0.2">
      <c r="A2482" s="163">
        <v>42566</v>
      </c>
      <c r="B2482" s="162">
        <v>59.42</v>
      </c>
    </row>
    <row r="2483" spans="1:2" ht="18" x14ac:dyDescent="0.2">
      <c r="A2483" s="163">
        <v>42565</v>
      </c>
      <c r="B2483" s="162">
        <v>59.31</v>
      </c>
    </row>
    <row r="2484" spans="1:2" ht="18" x14ac:dyDescent="0.2">
      <c r="A2484" s="163">
        <v>42564</v>
      </c>
      <c r="B2484" s="162">
        <v>56.67</v>
      </c>
    </row>
    <row r="2485" spans="1:2" ht="18" x14ac:dyDescent="0.2">
      <c r="A2485" s="163">
        <v>42563</v>
      </c>
      <c r="B2485" s="162">
        <v>58</v>
      </c>
    </row>
    <row r="2486" spans="1:2" ht="18" x14ac:dyDescent="0.2">
      <c r="A2486" s="163">
        <v>42562</v>
      </c>
      <c r="B2486" s="162">
        <v>57.73</v>
      </c>
    </row>
    <row r="2487" spans="1:2" ht="18" x14ac:dyDescent="0.2">
      <c r="A2487" s="163">
        <v>42559</v>
      </c>
      <c r="B2487" s="162">
        <v>56.02</v>
      </c>
    </row>
    <row r="2488" spans="1:2" ht="18" x14ac:dyDescent="0.2">
      <c r="A2488" s="163">
        <v>42558</v>
      </c>
      <c r="B2488" s="162">
        <v>54.37</v>
      </c>
    </row>
    <row r="2489" spans="1:2" ht="18" x14ac:dyDescent="0.2">
      <c r="A2489" s="163">
        <v>42557</v>
      </c>
      <c r="B2489" s="162">
        <v>52.57</v>
      </c>
    </row>
    <row r="2490" spans="1:2" ht="18" x14ac:dyDescent="0.2">
      <c r="A2490" s="163">
        <v>42556</v>
      </c>
      <c r="B2490" s="162">
        <v>51.82</v>
      </c>
    </row>
    <row r="2491" spans="1:2" ht="18" x14ac:dyDescent="0.2">
      <c r="A2491" s="163">
        <v>42552</v>
      </c>
      <c r="B2491" s="162">
        <v>54.5</v>
      </c>
    </row>
    <row r="2492" spans="1:2" ht="18" x14ac:dyDescent="0.2">
      <c r="A2492" s="163">
        <v>42551</v>
      </c>
      <c r="B2492" s="162">
        <v>55.26</v>
      </c>
    </row>
    <row r="2493" spans="1:2" ht="18" x14ac:dyDescent="0.2">
      <c r="A2493" s="163">
        <v>42550</v>
      </c>
      <c r="B2493" s="162">
        <v>54.65</v>
      </c>
    </row>
    <row r="2494" spans="1:2" ht="18" x14ac:dyDescent="0.2">
      <c r="A2494" s="163">
        <v>42549</v>
      </c>
      <c r="B2494" s="162">
        <v>52.75</v>
      </c>
    </row>
    <row r="2495" spans="1:2" ht="18" x14ac:dyDescent="0.2">
      <c r="A2495" s="163">
        <v>42548</v>
      </c>
      <c r="B2495" s="162">
        <v>50.69</v>
      </c>
    </row>
    <row r="2496" spans="1:2" ht="18" x14ac:dyDescent="0.2">
      <c r="A2496" s="163">
        <v>42545</v>
      </c>
      <c r="B2496" s="162">
        <v>54.94</v>
      </c>
    </row>
    <row r="2497" spans="1:2" ht="18" x14ac:dyDescent="0.2">
      <c r="A2497" s="163">
        <v>42544</v>
      </c>
      <c r="B2497" s="162">
        <v>58.28</v>
      </c>
    </row>
    <row r="2498" spans="1:2" ht="18" x14ac:dyDescent="0.2">
      <c r="A2498" s="163">
        <v>42543</v>
      </c>
      <c r="B2498" s="162">
        <v>55.64</v>
      </c>
    </row>
    <row r="2499" spans="1:2" ht="18" x14ac:dyDescent="0.2">
      <c r="A2499" s="163">
        <v>42542</v>
      </c>
      <c r="B2499" s="162">
        <v>56.33</v>
      </c>
    </row>
    <row r="2500" spans="1:2" ht="18" x14ac:dyDescent="0.2">
      <c r="A2500" s="163">
        <v>42541</v>
      </c>
      <c r="B2500" s="162">
        <v>55.98</v>
      </c>
    </row>
    <row r="2501" spans="1:2" ht="18" x14ac:dyDescent="0.2">
      <c r="A2501" s="163">
        <v>42538</v>
      </c>
      <c r="B2501" s="162">
        <v>54.5</v>
      </c>
    </row>
    <row r="2502" spans="1:2" ht="18" x14ac:dyDescent="0.2">
      <c r="A2502" s="163">
        <v>42537</v>
      </c>
      <c r="B2502" s="162">
        <v>54.81</v>
      </c>
    </row>
    <row r="2503" spans="1:2" ht="18" x14ac:dyDescent="0.2">
      <c r="A2503" s="163">
        <v>42536</v>
      </c>
      <c r="B2503" s="162">
        <v>54.94</v>
      </c>
    </row>
    <row r="2504" spans="1:2" ht="18" x14ac:dyDescent="0.2">
      <c r="A2504" s="163">
        <v>42535</v>
      </c>
      <c r="B2504" s="162">
        <v>54.43</v>
      </c>
    </row>
    <row r="2505" spans="1:2" ht="18" x14ac:dyDescent="0.2">
      <c r="A2505" s="163">
        <v>42534</v>
      </c>
      <c r="B2505" s="162">
        <v>53.69</v>
      </c>
    </row>
    <row r="2506" spans="1:2" ht="18" x14ac:dyDescent="0.2">
      <c r="A2506" s="163">
        <v>42531</v>
      </c>
      <c r="B2506" s="162">
        <v>54.03</v>
      </c>
    </row>
    <row r="2507" spans="1:2" ht="18" x14ac:dyDescent="0.2">
      <c r="A2507" s="163">
        <v>42530</v>
      </c>
      <c r="B2507" s="162">
        <v>56.07</v>
      </c>
    </row>
    <row r="2508" spans="1:2" ht="18" x14ac:dyDescent="0.2">
      <c r="A2508" s="163">
        <v>42529</v>
      </c>
      <c r="B2508" s="162">
        <v>56.04</v>
      </c>
    </row>
    <row r="2509" spans="1:2" ht="18" x14ac:dyDescent="0.2">
      <c r="A2509" s="163">
        <v>42528</v>
      </c>
      <c r="B2509" s="162">
        <v>55.49</v>
      </c>
    </row>
    <row r="2510" spans="1:2" ht="18" x14ac:dyDescent="0.2">
      <c r="A2510" s="163">
        <v>42527</v>
      </c>
      <c r="B2510" s="162">
        <v>54.81</v>
      </c>
    </row>
    <row r="2511" spans="1:2" ht="18" x14ac:dyDescent="0.2">
      <c r="A2511" s="163">
        <v>42524</v>
      </c>
      <c r="B2511" s="162">
        <v>53.67</v>
      </c>
    </row>
    <row r="2512" spans="1:2" ht="18" x14ac:dyDescent="0.2">
      <c r="A2512" s="163">
        <v>42523</v>
      </c>
      <c r="B2512" s="162">
        <v>53.49</v>
      </c>
    </row>
    <row r="2513" spans="1:2" ht="18" x14ac:dyDescent="0.2">
      <c r="A2513" s="163">
        <v>42522</v>
      </c>
      <c r="B2513" s="162">
        <v>52.14</v>
      </c>
    </row>
    <row r="2514" spans="1:2" ht="18" x14ac:dyDescent="0.2">
      <c r="A2514" s="163">
        <v>42521</v>
      </c>
      <c r="B2514" s="162">
        <v>50.97</v>
      </c>
    </row>
    <row r="2515" spans="1:2" ht="18" x14ac:dyDescent="0.2">
      <c r="A2515" s="163">
        <v>42517</v>
      </c>
      <c r="B2515" s="162">
        <v>50.53</v>
      </c>
    </row>
    <row r="2516" spans="1:2" ht="18" x14ac:dyDescent="0.2">
      <c r="A2516" s="163">
        <v>42516</v>
      </c>
      <c r="B2516" s="162">
        <v>50.53</v>
      </c>
    </row>
    <row r="2517" spans="1:2" ht="18" x14ac:dyDescent="0.2">
      <c r="A2517" s="163">
        <v>42515</v>
      </c>
      <c r="B2517" s="162">
        <v>50.65</v>
      </c>
    </row>
    <row r="2518" spans="1:2" ht="18" x14ac:dyDescent="0.2">
      <c r="A2518" s="163">
        <v>42514</v>
      </c>
      <c r="B2518" s="162">
        <v>50.98</v>
      </c>
    </row>
    <row r="2519" spans="1:2" ht="18" x14ac:dyDescent="0.2">
      <c r="A2519" s="163">
        <v>42513</v>
      </c>
      <c r="B2519" s="162">
        <v>50.4</v>
      </c>
    </row>
    <row r="2520" spans="1:2" ht="18" x14ac:dyDescent="0.2">
      <c r="A2520" s="163">
        <v>42510</v>
      </c>
      <c r="B2520" s="162">
        <v>49.4</v>
      </c>
    </row>
    <row r="2521" spans="1:2" ht="18" x14ac:dyDescent="0.2">
      <c r="A2521" s="163">
        <v>42509</v>
      </c>
      <c r="B2521" s="162">
        <v>47.17</v>
      </c>
    </row>
    <row r="2522" spans="1:2" ht="18" x14ac:dyDescent="0.2">
      <c r="A2522" s="163">
        <v>42508</v>
      </c>
      <c r="B2522" s="162">
        <v>47.22</v>
      </c>
    </row>
    <row r="2523" spans="1:2" ht="18" x14ac:dyDescent="0.2">
      <c r="A2523" s="163">
        <v>42507</v>
      </c>
      <c r="B2523" s="162">
        <v>45.83</v>
      </c>
    </row>
    <row r="2524" spans="1:2" ht="18" x14ac:dyDescent="0.2">
      <c r="A2524" s="163">
        <v>42506</v>
      </c>
      <c r="B2524" s="162">
        <v>45.56</v>
      </c>
    </row>
    <row r="2525" spans="1:2" ht="18" x14ac:dyDescent="0.2">
      <c r="A2525" s="163">
        <v>42503</v>
      </c>
      <c r="B2525" s="162">
        <v>44.99</v>
      </c>
    </row>
    <row r="2526" spans="1:2" ht="18" x14ac:dyDescent="0.2">
      <c r="A2526" s="163">
        <v>42502</v>
      </c>
      <c r="B2526" s="162">
        <v>45.18</v>
      </c>
    </row>
    <row r="2527" spans="1:2" ht="18" x14ac:dyDescent="0.2">
      <c r="A2527" s="163">
        <v>42501</v>
      </c>
      <c r="B2527" s="162">
        <v>45.99</v>
      </c>
    </row>
    <row r="2528" spans="1:2" ht="18" x14ac:dyDescent="0.2">
      <c r="A2528" s="163">
        <v>42500</v>
      </c>
      <c r="B2528" s="162">
        <v>46.64</v>
      </c>
    </row>
    <row r="2529" spans="1:2" ht="18" x14ac:dyDescent="0.2">
      <c r="A2529" s="163">
        <v>42499</v>
      </c>
      <c r="B2529" s="162">
        <v>45.62</v>
      </c>
    </row>
    <row r="2530" spans="1:2" ht="18" x14ac:dyDescent="0.2">
      <c r="A2530" s="163">
        <v>42496</v>
      </c>
      <c r="B2530" s="162">
        <v>46.11</v>
      </c>
    </row>
    <row r="2531" spans="1:2" ht="18" x14ac:dyDescent="0.2">
      <c r="A2531" s="163">
        <v>42495</v>
      </c>
      <c r="B2531" s="162">
        <v>46.66</v>
      </c>
    </row>
    <row r="2532" spans="1:2" ht="18" x14ac:dyDescent="0.2">
      <c r="A2532" s="163">
        <v>42494</v>
      </c>
      <c r="B2532" s="162">
        <v>44.51</v>
      </c>
    </row>
    <row r="2533" spans="1:2" ht="18" x14ac:dyDescent="0.2">
      <c r="A2533" s="163">
        <v>42493</v>
      </c>
      <c r="B2533" s="162">
        <v>45.04</v>
      </c>
    </row>
    <row r="2534" spans="1:2" ht="18" x14ac:dyDescent="0.2">
      <c r="A2534" s="163">
        <v>42492</v>
      </c>
      <c r="B2534" s="162">
        <v>44.71</v>
      </c>
    </row>
    <row r="2535" spans="1:2" ht="18" x14ac:dyDescent="0.2">
      <c r="A2535" s="163">
        <v>42489</v>
      </c>
      <c r="B2535" s="162">
        <v>45.03</v>
      </c>
    </row>
    <row r="2536" spans="1:2" ht="18" x14ac:dyDescent="0.2">
      <c r="A2536" s="163">
        <v>42488</v>
      </c>
      <c r="B2536" s="162">
        <v>45.83</v>
      </c>
    </row>
    <row r="2537" spans="1:2" ht="18" x14ac:dyDescent="0.2">
      <c r="A2537" s="163">
        <v>42487</v>
      </c>
      <c r="B2537" s="162">
        <v>46.62</v>
      </c>
    </row>
    <row r="2538" spans="1:2" ht="18" x14ac:dyDescent="0.2">
      <c r="A2538" s="163">
        <v>42486</v>
      </c>
      <c r="B2538" s="162">
        <v>46.3</v>
      </c>
    </row>
    <row r="2539" spans="1:2" ht="18" x14ac:dyDescent="0.2">
      <c r="A2539" s="163">
        <v>42485</v>
      </c>
      <c r="B2539" s="162">
        <v>45.05</v>
      </c>
    </row>
    <row r="2540" spans="1:2" ht="18" x14ac:dyDescent="0.2">
      <c r="A2540" s="163">
        <v>42482</v>
      </c>
      <c r="B2540" s="162">
        <v>45.7</v>
      </c>
    </row>
    <row r="2541" spans="1:2" ht="18" x14ac:dyDescent="0.2">
      <c r="A2541" s="163">
        <v>42481</v>
      </c>
      <c r="B2541" s="162">
        <v>45.35</v>
      </c>
    </row>
    <row r="2542" spans="1:2" ht="18" x14ac:dyDescent="0.2">
      <c r="A2542" s="163">
        <v>42480</v>
      </c>
      <c r="B2542" s="162">
        <v>45.94</v>
      </c>
    </row>
    <row r="2543" spans="1:2" ht="18" x14ac:dyDescent="0.2">
      <c r="A2543" s="163">
        <v>42479</v>
      </c>
      <c r="B2543" s="162">
        <v>45.24</v>
      </c>
    </row>
    <row r="2544" spans="1:2" ht="18" x14ac:dyDescent="0.2">
      <c r="A2544" s="163">
        <v>42478</v>
      </c>
      <c r="B2544" s="162">
        <v>47.16</v>
      </c>
    </row>
    <row r="2545" spans="1:2" ht="18" x14ac:dyDescent="0.2">
      <c r="A2545" s="163">
        <v>42475</v>
      </c>
      <c r="B2545" s="162">
        <v>47.74</v>
      </c>
    </row>
    <row r="2546" spans="1:2" ht="18" x14ac:dyDescent="0.2">
      <c r="A2546" s="163">
        <v>42474</v>
      </c>
      <c r="B2546" s="162">
        <v>49.63</v>
      </c>
    </row>
    <row r="2547" spans="1:2" ht="18" x14ac:dyDescent="0.2">
      <c r="A2547" s="163">
        <v>42473</v>
      </c>
      <c r="B2547" s="162">
        <v>50.04</v>
      </c>
    </row>
    <row r="2548" spans="1:2" ht="18" x14ac:dyDescent="0.2">
      <c r="A2548" s="163">
        <v>42472</v>
      </c>
      <c r="B2548" s="162">
        <v>47.68</v>
      </c>
    </row>
    <row r="2549" spans="1:2" ht="18" x14ac:dyDescent="0.2">
      <c r="A2549" s="163">
        <v>42471</v>
      </c>
      <c r="B2549" s="162">
        <v>47.99</v>
      </c>
    </row>
    <row r="2550" spans="1:2" ht="18" x14ac:dyDescent="0.2">
      <c r="A2550" s="163">
        <v>42468</v>
      </c>
      <c r="B2550" s="162">
        <v>49.24</v>
      </c>
    </row>
    <row r="2551" spans="1:2" ht="18" x14ac:dyDescent="0.2">
      <c r="A2551" s="163">
        <v>42467</v>
      </c>
      <c r="B2551" s="162">
        <v>48.73</v>
      </c>
    </row>
    <row r="2552" spans="1:2" ht="18" x14ac:dyDescent="0.2">
      <c r="A2552" s="163">
        <v>42466</v>
      </c>
      <c r="B2552" s="162">
        <v>50.5</v>
      </c>
    </row>
    <row r="2553" spans="1:2" ht="18" x14ac:dyDescent="0.2">
      <c r="A2553" s="163">
        <v>42465</v>
      </c>
      <c r="B2553" s="162">
        <v>49.86</v>
      </c>
    </row>
    <row r="2554" spans="1:2" ht="18" x14ac:dyDescent="0.2">
      <c r="A2554" s="163">
        <v>42464</v>
      </c>
      <c r="B2554" s="162">
        <v>50.62</v>
      </c>
    </row>
    <row r="2555" spans="1:2" ht="18" x14ac:dyDescent="0.2">
      <c r="A2555" s="163">
        <v>42461</v>
      </c>
      <c r="B2555" s="162">
        <v>50.82</v>
      </c>
    </row>
    <row r="2556" spans="1:2" ht="18" x14ac:dyDescent="0.2">
      <c r="A2556" s="163">
        <v>42460</v>
      </c>
      <c r="B2556" s="162">
        <v>50.41</v>
      </c>
    </row>
    <row r="2557" spans="1:2" ht="18" x14ac:dyDescent="0.2">
      <c r="A2557" s="163">
        <v>42459</v>
      </c>
      <c r="B2557" s="162">
        <v>51.23</v>
      </c>
    </row>
    <row r="2558" spans="1:2" ht="18" x14ac:dyDescent="0.2">
      <c r="A2558" s="163">
        <v>42458</v>
      </c>
      <c r="B2558" s="162">
        <v>50.58</v>
      </c>
    </row>
    <row r="2559" spans="1:2" ht="18" x14ac:dyDescent="0.2">
      <c r="A2559" s="163">
        <v>42457</v>
      </c>
      <c r="B2559" s="162">
        <v>49.1</v>
      </c>
    </row>
    <row r="2560" spans="1:2" ht="18" x14ac:dyDescent="0.2">
      <c r="A2560" s="163">
        <v>42453</v>
      </c>
      <c r="B2560" s="162">
        <v>49.24</v>
      </c>
    </row>
    <row r="2561" spans="1:2" ht="18" x14ac:dyDescent="0.2">
      <c r="A2561" s="163">
        <v>42452</v>
      </c>
      <c r="B2561" s="162">
        <v>49.52</v>
      </c>
    </row>
    <row r="2562" spans="1:2" ht="18" x14ac:dyDescent="0.2">
      <c r="A2562" s="163">
        <v>42451</v>
      </c>
      <c r="B2562" s="162">
        <v>51.75</v>
      </c>
    </row>
    <row r="2563" spans="1:2" ht="18" x14ac:dyDescent="0.2">
      <c r="A2563" s="163">
        <v>42450</v>
      </c>
      <c r="B2563" s="162">
        <v>50.64</v>
      </c>
    </row>
    <row r="2564" spans="1:2" ht="18" x14ac:dyDescent="0.2">
      <c r="A2564" s="163">
        <v>42447</v>
      </c>
      <c r="B2564" s="162">
        <v>50.69</v>
      </c>
    </row>
    <row r="2565" spans="1:2" ht="18" x14ac:dyDescent="0.2">
      <c r="A2565" s="163">
        <v>42446</v>
      </c>
      <c r="B2565" s="162">
        <v>49.2</v>
      </c>
    </row>
    <row r="2566" spans="1:2" ht="18" x14ac:dyDescent="0.2">
      <c r="A2566" s="163">
        <v>42445</v>
      </c>
      <c r="B2566" s="162">
        <v>48.99</v>
      </c>
    </row>
    <row r="2567" spans="1:2" ht="18" x14ac:dyDescent="0.2">
      <c r="A2567" s="163">
        <v>42444</v>
      </c>
      <c r="B2567" s="162">
        <v>49.27</v>
      </c>
    </row>
    <row r="2568" spans="1:2" ht="18" x14ac:dyDescent="0.2">
      <c r="A2568" s="163">
        <v>42443</v>
      </c>
      <c r="B2568" s="162">
        <v>48.73</v>
      </c>
    </row>
    <row r="2569" spans="1:2" ht="18" x14ac:dyDescent="0.2">
      <c r="A2569" s="163">
        <v>42440</v>
      </c>
      <c r="B2569" s="162">
        <v>48.64</v>
      </c>
    </row>
    <row r="2570" spans="1:2" ht="18" x14ac:dyDescent="0.2">
      <c r="A2570" s="163">
        <v>42439</v>
      </c>
      <c r="B2570" s="162">
        <v>47.4</v>
      </c>
    </row>
    <row r="2571" spans="1:2" ht="18" x14ac:dyDescent="0.2">
      <c r="A2571" s="163">
        <v>42438</v>
      </c>
      <c r="B2571" s="162">
        <v>48.18</v>
      </c>
    </row>
    <row r="2572" spans="1:2" ht="18" x14ac:dyDescent="0.2">
      <c r="A2572" s="163">
        <v>42437</v>
      </c>
      <c r="B2572" s="162">
        <v>47.09</v>
      </c>
    </row>
    <row r="2573" spans="1:2" ht="18" x14ac:dyDescent="0.2">
      <c r="A2573" s="163">
        <v>42436</v>
      </c>
      <c r="B2573" s="162">
        <v>49.06</v>
      </c>
    </row>
    <row r="2574" spans="1:2" ht="18" x14ac:dyDescent="0.2">
      <c r="A2574" s="163">
        <v>42433</v>
      </c>
      <c r="B2574" s="162">
        <v>49.9</v>
      </c>
    </row>
    <row r="2575" spans="1:2" ht="18" x14ac:dyDescent="0.2">
      <c r="A2575" s="163">
        <v>42432</v>
      </c>
      <c r="B2575" s="162">
        <v>49.11</v>
      </c>
    </row>
    <row r="2576" spans="1:2" ht="18" x14ac:dyDescent="0.2">
      <c r="A2576" s="163">
        <v>42431</v>
      </c>
      <c r="B2576" s="162">
        <v>47.65</v>
      </c>
    </row>
    <row r="2577" spans="1:2" ht="18" x14ac:dyDescent="0.2">
      <c r="A2577" s="163">
        <v>42430</v>
      </c>
      <c r="B2577" s="162">
        <v>47.36</v>
      </c>
    </row>
    <row r="2578" spans="1:2" ht="18" x14ac:dyDescent="0.2">
      <c r="A2578" s="163">
        <v>42429</v>
      </c>
      <c r="B2578" s="162">
        <v>45.08</v>
      </c>
    </row>
    <row r="2579" spans="1:2" ht="18" x14ac:dyDescent="0.2">
      <c r="A2579" s="163">
        <v>42426</v>
      </c>
      <c r="B2579" s="162">
        <v>43.46</v>
      </c>
    </row>
    <row r="2580" spans="1:2" ht="18" x14ac:dyDescent="0.2">
      <c r="A2580" s="163">
        <v>42425</v>
      </c>
      <c r="B2580" s="162">
        <v>42.67</v>
      </c>
    </row>
    <row r="2581" spans="1:2" ht="18" x14ac:dyDescent="0.2">
      <c r="A2581" s="163">
        <v>42424</v>
      </c>
      <c r="B2581" s="162">
        <v>42.17</v>
      </c>
    </row>
    <row r="2582" spans="1:2" ht="18" x14ac:dyDescent="0.2">
      <c r="A2582" s="163">
        <v>42423</v>
      </c>
      <c r="B2582" s="162">
        <v>41.49</v>
      </c>
    </row>
    <row r="2583" spans="1:2" ht="18" x14ac:dyDescent="0.2">
      <c r="A2583" s="163">
        <v>42422</v>
      </c>
      <c r="B2583" s="162">
        <v>41.96</v>
      </c>
    </row>
    <row r="2584" spans="1:2" ht="18" x14ac:dyDescent="0.2">
      <c r="A2584" s="163">
        <v>42419</v>
      </c>
      <c r="B2584" s="162">
        <v>41.85</v>
      </c>
    </row>
    <row r="2585" spans="1:2" ht="18" x14ac:dyDescent="0.2">
      <c r="A2585" s="163">
        <v>42418</v>
      </c>
      <c r="B2585" s="162">
        <v>40.409999999999997</v>
      </c>
    </row>
    <row r="2586" spans="1:2" ht="18" x14ac:dyDescent="0.2">
      <c r="A2586" s="163">
        <v>42417</v>
      </c>
      <c r="B2586" s="162">
        <v>41.59</v>
      </c>
    </row>
    <row r="2587" spans="1:2" ht="18" x14ac:dyDescent="0.2">
      <c r="A2587" s="163">
        <v>42416</v>
      </c>
      <c r="B2587" s="162">
        <v>40.78</v>
      </c>
    </row>
    <row r="2588" spans="1:2" ht="18" x14ac:dyDescent="0.2">
      <c r="A2588" s="163">
        <v>42412</v>
      </c>
      <c r="B2588" s="162">
        <v>37.549999999999997</v>
      </c>
    </row>
    <row r="2589" spans="1:2" ht="18" x14ac:dyDescent="0.2">
      <c r="A2589" s="163">
        <v>42411</v>
      </c>
      <c r="B2589" s="162">
        <v>34.53</v>
      </c>
    </row>
    <row r="2590" spans="1:2" ht="18" x14ac:dyDescent="0.2">
      <c r="A2590" s="163">
        <v>42410</v>
      </c>
      <c r="B2590" s="162">
        <v>35.36</v>
      </c>
    </row>
    <row r="2591" spans="1:2" ht="18" x14ac:dyDescent="0.2">
      <c r="A2591" s="163">
        <v>42409</v>
      </c>
      <c r="B2591" s="162">
        <v>35.14</v>
      </c>
    </row>
    <row r="2592" spans="1:2" ht="18" x14ac:dyDescent="0.2">
      <c r="A2592" s="163">
        <v>42408</v>
      </c>
      <c r="B2592" s="162">
        <v>36.42</v>
      </c>
    </row>
    <row r="2593" spans="1:2" ht="18" x14ac:dyDescent="0.2">
      <c r="A2593" s="163">
        <v>42405</v>
      </c>
      <c r="B2593" s="162">
        <v>37.25</v>
      </c>
    </row>
    <row r="2594" spans="1:2" ht="18" x14ac:dyDescent="0.2">
      <c r="A2594" s="163">
        <v>42404</v>
      </c>
      <c r="B2594" s="162">
        <v>38.78</v>
      </c>
    </row>
    <row r="2595" spans="1:2" ht="18" x14ac:dyDescent="0.2">
      <c r="A2595" s="163">
        <v>42403</v>
      </c>
      <c r="B2595" s="162">
        <v>37.06</v>
      </c>
    </row>
    <row r="2596" spans="1:2" ht="18" x14ac:dyDescent="0.2">
      <c r="A2596" s="163">
        <v>42402</v>
      </c>
      <c r="B2596" s="162">
        <v>37.15</v>
      </c>
    </row>
    <row r="2597" spans="1:2" ht="18" x14ac:dyDescent="0.2">
      <c r="A2597" s="163">
        <v>42401</v>
      </c>
      <c r="B2597" s="162">
        <v>39.97</v>
      </c>
    </row>
    <row r="2598" spans="1:2" ht="18" x14ac:dyDescent="0.2">
      <c r="A2598" s="163">
        <v>42398</v>
      </c>
      <c r="B2598" s="162">
        <v>39.6</v>
      </c>
    </row>
    <row r="2599" spans="1:2" ht="18" x14ac:dyDescent="0.2">
      <c r="A2599" s="163">
        <v>42397</v>
      </c>
      <c r="B2599" s="162">
        <v>36.67</v>
      </c>
    </row>
    <row r="2600" spans="1:2" ht="18" x14ac:dyDescent="0.2">
      <c r="A2600" s="163">
        <v>42396</v>
      </c>
      <c r="B2600" s="162">
        <v>37.020000000000003</v>
      </c>
    </row>
    <row r="2601" spans="1:2" ht="18" x14ac:dyDescent="0.2">
      <c r="A2601" s="163">
        <v>42395</v>
      </c>
      <c r="B2601" s="162">
        <v>39.76</v>
      </c>
    </row>
    <row r="2602" spans="1:2" ht="18" x14ac:dyDescent="0.2">
      <c r="A2602" s="163">
        <v>42394</v>
      </c>
      <c r="B2602" s="162">
        <v>39.76</v>
      </c>
    </row>
    <row r="2603" spans="1:2" ht="18" x14ac:dyDescent="0.2">
      <c r="A2603" s="163">
        <v>42391</v>
      </c>
      <c r="B2603" s="162">
        <v>41.06</v>
      </c>
    </row>
    <row r="2604" spans="1:2" ht="18" x14ac:dyDescent="0.2">
      <c r="A2604" s="163">
        <v>42390</v>
      </c>
      <c r="B2604" s="162">
        <v>37.840000000000003</v>
      </c>
    </row>
    <row r="2605" spans="1:2" ht="18" x14ac:dyDescent="0.2">
      <c r="A2605" s="163">
        <v>42389</v>
      </c>
      <c r="B2605" s="162">
        <v>37.049999999999997</v>
      </c>
    </row>
    <row r="2606" spans="1:2" ht="18" x14ac:dyDescent="0.2">
      <c r="A2606" s="163">
        <v>42388</v>
      </c>
      <c r="B2606" s="162">
        <v>36.29</v>
      </c>
    </row>
    <row r="2607" spans="1:2" ht="18" x14ac:dyDescent="0.2">
      <c r="A2607" s="163">
        <v>42384</v>
      </c>
      <c r="B2607" s="162">
        <v>36.6</v>
      </c>
    </row>
    <row r="2608" spans="1:2" ht="18" x14ac:dyDescent="0.2">
      <c r="A2608" s="163">
        <v>42383</v>
      </c>
      <c r="B2608" s="162">
        <v>39.42</v>
      </c>
    </row>
    <row r="2609" spans="1:2" ht="18" x14ac:dyDescent="0.2">
      <c r="A2609" s="163">
        <v>42382</v>
      </c>
      <c r="B2609" s="162">
        <v>40.39</v>
      </c>
    </row>
    <row r="2610" spans="1:2" ht="18" x14ac:dyDescent="0.2">
      <c r="A2610" s="163">
        <v>42381</v>
      </c>
      <c r="B2610" s="162">
        <v>44.78</v>
      </c>
    </row>
    <row r="2611" spans="1:2" ht="18" x14ac:dyDescent="0.2">
      <c r="A2611" s="163">
        <v>42380</v>
      </c>
      <c r="B2611" s="162">
        <v>44.22</v>
      </c>
    </row>
    <row r="2612" spans="1:2" ht="18" x14ac:dyDescent="0.2">
      <c r="A2612" s="163">
        <v>42377</v>
      </c>
      <c r="B2612" s="162">
        <v>44.49</v>
      </c>
    </row>
    <row r="2613" spans="1:2" ht="18" x14ac:dyDescent="0.2">
      <c r="A2613" s="163">
        <v>42376</v>
      </c>
      <c r="B2613" s="162">
        <v>45.64</v>
      </c>
    </row>
    <row r="2614" spans="1:2" ht="18" x14ac:dyDescent="0.2">
      <c r="A2614" s="163">
        <v>42375</v>
      </c>
      <c r="B2614" s="162">
        <v>44.62</v>
      </c>
    </row>
    <row r="2615" spans="1:2" ht="18" x14ac:dyDescent="0.2">
      <c r="A2615" s="163">
        <v>42374</v>
      </c>
      <c r="B2615" s="162">
        <v>47.53</v>
      </c>
    </row>
    <row r="2616" spans="1:2" ht="18" x14ac:dyDescent="0.2">
      <c r="A2616" s="163">
        <v>42373</v>
      </c>
      <c r="B2616" s="162">
        <v>50.72</v>
      </c>
    </row>
    <row r="2617" spans="1:2" ht="18" x14ac:dyDescent="0.2">
      <c r="A2617" s="163">
        <v>42369</v>
      </c>
      <c r="B2617" s="162">
        <v>50.9</v>
      </c>
    </row>
    <row r="2618" spans="1:2" ht="18" x14ac:dyDescent="0.2">
      <c r="A2618" s="163">
        <v>42368</v>
      </c>
      <c r="B2618" s="162">
        <v>51.66</v>
      </c>
    </row>
    <row r="2619" spans="1:2" ht="18" x14ac:dyDescent="0.2">
      <c r="A2619" s="163">
        <v>42367</v>
      </c>
      <c r="B2619" s="162">
        <v>52.99</v>
      </c>
    </row>
    <row r="2620" spans="1:2" ht="18" x14ac:dyDescent="0.2">
      <c r="A2620" s="163">
        <v>42366</v>
      </c>
      <c r="B2620" s="162">
        <v>52.89</v>
      </c>
    </row>
    <row r="2621" spans="1:2" ht="18" x14ac:dyDescent="0.2">
      <c r="A2621" s="163">
        <v>42362</v>
      </c>
      <c r="B2621" s="162">
        <v>54.21</v>
      </c>
    </row>
    <row r="2622" spans="1:2" ht="18" x14ac:dyDescent="0.2">
      <c r="A2622" s="163">
        <v>42361</v>
      </c>
      <c r="B2622" s="162">
        <v>54.41</v>
      </c>
    </row>
    <row r="2623" spans="1:2" ht="18" x14ac:dyDescent="0.2">
      <c r="A2623" s="163">
        <v>42360</v>
      </c>
      <c r="B2623" s="162">
        <v>52.41</v>
      </c>
    </row>
    <row r="2624" spans="1:2" ht="18" x14ac:dyDescent="0.2">
      <c r="A2624" s="163">
        <v>42359</v>
      </c>
      <c r="B2624" s="162">
        <v>53.35</v>
      </c>
    </row>
    <row r="2625" spans="1:2" ht="18" x14ac:dyDescent="0.2">
      <c r="A2625" s="163">
        <v>42356</v>
      </c>
      <c r="B2625" s="162">
        <v>51.63</v>
      </c>
    </row>
    <row r="2626" spans="1:2" ht="18" x14ac:dyDescent="0.2">
      <c r="A2626" s="163">
        <v>42355</v>
      </c>
      <c r="B2626" s="162">
        <v>52.75</v>
      </c>
    </row>
    <row r="2627" spans="1:2" ht="18" x14ac:dyDescent="0.2">
      <c r="A2627" s="163">
        <v>42354</v>
      </c>
      <c r="B2627" s="162">
        <v>53.23</v>
      </c>
    </row>
    <row r="2628" spans="1:2" ht="18" x14ac:dyDescent="0.2">
      <c r="A2628" s="163">
        <v>42353</v>
      </c>
      <c r="B2628" s="162">
        <v>51.69</v>
      </c>
    </row>
    <row r="2629" spans="1:2" ht="18" x14ac:dyDescent="0.2">
      <c r="A2629" s="163">
        <v>42352</v>
      </c>
      <c r="B2629" s="162">
        <v>52.48</v>
      </c>
    </row>
    <row r="2630" spans="1:2" ht="18" x14ac:dyDescent="0.2">
      <c r="A2630" s="163">
        <v>42349</v>
      </c>
      <c r="B2630" s="162">
        <v>56.19</v>
      </c>
    </row>
    <row r="2631" spans="1:2" ht="18" x14ac:dyDescent="0.2">
      <c r="A2631" s="163">
        <v>42348</v>
      </c>
      <c r="B2631" s="162">
        <v>57.5</v>
      </c>
    </row>
    <row r="2632" spans="1:2" ht="18" x14ac:dyDescent="0.2">
      <c r="A2632" s="163">
        <v>42347</v>
      </c>
      <c r="B2632" s="162">
        <v>56.15</v>
      </c>
    </row>
    <row r="2633" spans="1:2" ht="18" x14ac:dyDescent="0.2">
      <c r="A2633" s="163">
        <v>42346</v>
      </c>
      <c r="B2633" s="162">
        <v>57.28</v>
      </c>
    </row>
    <row r="2634" spans="1:2" ht="18" x14ac:dyDescent="0.2">
      <c r="A2634" s="163">
        <v>42345</v>
      </c>
      <c r="B2634" s="162">
        <v>57.63</v>
      </c>
    </row>
    <row r="2635" spans="1:2" ht="18" x14ac:dyDescent="0.2">
      <c r="A2635" s="163">
        <v>42342</v>
      </c>
      <c r="B2635" s="162">
        <v>59.54</v>
      </c>
    </row>
    <row r="2636" spans="1:2" ht="18" x14ac:dyDescent="0.2">
      <c r="A2636" s="163">
        <v>42341</v>
      </c>
      <c r="B2636" s="162">
        <v>58.09</v>
      </c>
    </row>
    <row r="2637" spans="1:2" ht="18" x14ac:dyDescent="0.2">
      <c r="A2637" s="163">
        <v>42340</v>
      </c>
      <c r="B2637" s="162">
        <v>58.48</v>
      </c>
    </row>
    <row r="2638" spans="1:2" ht="18" x14ac:dyDescent="0.2">
      <c r="A2638" s="163">
        <v>42339</v>
      </c>
      <c r="B2638" s="162">
        <v>58.04</v>
      </c>
    </row>
    <row r="2639" spans="1:2" ht="18" x14ac:dyDescent="0.2">
      <c r="A2639" s="163">
        <v>42338</v>
      </c>
      <c r="B2639" s="162">
        <v>58.07</v>
      </c>
    </row>
    <row r="2640" spans="1:2" ht="18" x14ac:dyDescent="0.2">
      <c r="A2640" s="163">
        <v>42335</v>
      </c>
      <c r="B2640" s="162">
        <v>57.51</v>
      </c>
    </row>
    <row r="2641" spans="1:2" ht="18" x14ac:dyDescent="0.2">
      <c r="A2641" s="163">
        <v>42333</v>
      </c>
      <c r="B2641" s="162">
        <v>57.34</v>
      </c>
    </row>
    <row r="2642" spans="1:2" ht="18" x14ac:dyDescent="0.2">
      <c r="A2642" s="163">
        <v>42332</v>
      </c>
      <c r="B2642" s="162">
        <v>55.75</v>
      </c>
    </row>
    <row r="2643" spans="1:2" ht="18" x14ac:dyDescent="0.2">
      <c r="A2643" s="163">
        <v>42331</v>
      </c>
      <c r="B2643" s="162">
        <v>54.85</v>
      </c>
    </row>
    <row r="2644" spans="1:2" ht="18" x14ac:dyDescent="0.2">
      <c r="A2644" s="163">
        <v>42328</v>
      </c>
      <c r="B2644" s="162">
        <v>54.78</v>
      </c>
    </row>
    <row r="2645" spans="1:2" ht="18" x14ac:dyDescent="0.2">
      <c r="A2645" s="163">
        <v>42327</v>
      </c>
      <c r="B2645" s="162">
        <v>55.77</v>
      </c>
    </row>
    <row r="2646" spans="1:2" ht="18" x14ac:dyDescent="0.2">
      <c r="A2646" s="163">
        <v>42326</v>
      </c>
      <c r="B2646" s="162">
        <v>56.34</v>
      </c>
    </row>
    <row r="2647" spans="1:2" ht="18" x14ac:dyDescent="0.2">
      <c r="A2647" s="163">
        <v>42325</v>
      </c>
      <c r="B2647" s="162">
        <v>54.74</v>
      </c>
    </row>
    <row r="2648" spans="1:2" ht="18" x14ac:dyDescent="0.2">
      <c r="A2648" s="163">
        <v>42324</v>
      </c>
      <c r="B2648" s="162">
        <v>51.84</v>
      </c>
    </row>
    <row r="2649" spans="1:2" ht="18" x14ac:dyDescent="0.2">
      <c r="A2649" s="163">
        <v>42321</v>
      </c>
      <c r="B2649" s="162">
        <v>51</v>
      </c>
    </row>
    <row r="2650" spans="1:2" ht="18" x14ac:dyDescent="0.2">
      <c r="A2650" s="163">
        <v>42320</v>
      </c>
      <c r="B2650" s="162">
        <v>50.97</v>
      </c>
    </row>
    <row r="2651" spans="1:2" ht="18" x14ac:dyDescent="0.2">
      <c r="A2651" s="163">
        <v>42319</v>
      </c>
      <c r="B2651" s="162">
        <v>52.2</v>
      </c>
    </row>
    <row r="2652" spans="1:2" ht="18" x14ac:dyDescent="0.2">
      <c r="A2652" s="163">
        <v>42318</v>
      </c>
      <c r="B2652" s="162">
        <v>52.29</v>
      </c>
    </row>
    <row r="2653" spans="1:2" ht="18" x14ac:dyDescent="0.2">
      <c r="A2653" s="163">
        <v>42317</v>
      </c>
      <c r="B2653" s="162">
        <v>54.09</v>
      </c>
    </row>
    <row r="2654" spans="1:2" ht="18" x14ac:dyDescent="0.2">
      <c r="A2654" s="163">
        <v>42314</v>
      </c>
      <c r="B2654" s="162">
        <v>55.55</v>
      </c>
    </row>
    <row r="2655" spans="1:2" ht="18" x14ac:dyDescent="0.2">
      <c r="A2655" s="163">
        <v>42313</v>
      </c>
      <c r="B2655" s="162">
        <v>45.08</v>
      </c>
    </row>
    <row r="2656" spans="1:2" ht="18" x14ac:dyDescent="0.2">
      <c r="A2656" s="163">
        <v>42312</v>
      </c>
      <c r="B2656" s="162">
        <v>46.57</v>
      </c>
    </row>
    <row r="2657" spans="1:2" ht="18" x14ac:dyDescent="0.2">
      <c r="A2657" s="163">
        <v>42311</v>
      </c>
      <c r="B2657" s="162">
        <v>45.71</v>
      </c>
    </row>
    <row r="2658" spans="1:2" ht="18" x14ac:dyDescent="0.2">
      <c r="A2658" s="163">
        <v>42310</v>
      </c>
      <c r="B2658" s="162">
        <v>45.27</v>
      </c>
    </row>
    <row r="2659" spans="1:2" ht="18" x14ac:dyDescent="0.2">
      <c r="A2659" s="163">
        <v>42307</v>
      </c>
      <c r="B2659" s="162">
        <v>43.93</v>
      </c>
    </row>
    <row r="2660" spans="1:2" ht="18" x14ac:dyDescent="0.2">
      <c r="A2660" s="163">
        <v>42306</v>
      </c>
      <c r="B2660" s="162">
        <v>43.81</v>
      </c>
    </row>
    <row r="2661" spans="1:2" ht="18" x14ac:dyDescent="0.2">
      <c r="A2661" s="163">
        <v>42305</v>
      </c>
      <c r="B2661" s="162">
        <v>45.17</v>
      </c>
    </row>
    <row r="2662" spans="1:2" ht="18" x14ac:dyDescent="0.2">
      <c r="A2662" s="163">
        <v>42304</v>
      </c>
      <c r="B2662" s="162">
        <v>45.89</v>
      </c>
    </row>
    <row r="2663" spans="1:2" ht="18" x14ac:dyDescent="0.2">
      <c r="A2663" s="163">
        <v>42303</v>
      </c>
      <c r="B2663" s="162">
        <v>46.76</v>
      </c>
    </row>
    <row r="2664" spans="1:2" ht="18" x14ac:dyDescent="0.2">
      <c r="A2664" s="163">
        <v>42300</v>
      </c>
      <c r="B2664" s="162">
        <v>51.5</v>
      </c>
    </row>
    <row r="2665" spans="1:2" ht="18" x14ac:dyDescent="0.2">
      <c r="A2665" s="163">
        <v>42299</v>
      </c>
      <c r="B2665" s="162">
        <v>49.55</v>
      </c>
    </row>
    <row r="2666" spans="1:2" ht="18" x14ac:dyDescent="0.2">
      <c r="A2666" s="163">
        <v>42298</v>
      </c>
      <c r="B2666" s="162">
        <v>48.5</v>
      </c>
    </row>
    <row r="2667" spans="1:2" ht="18" x14ac:dyDescent="0.2">
      <c r="A2667" s="163">
        <v>42297</v>
      </c>
      <c r="B2667" s="162">
        <v>48.2</v>
      </c>
    </row>
    <row r="2668" spans="1:2" ht="18" x14ac:dyDescent="0.2">
      <c r="A2668" s="163">
        <v>42296</v>
      </c>
      <c r="B2668" s="162">
        <v>46.85</v>
      </c>
    </row>
    <row r="2669" spans="1:2" ht="18" x14ac:dyDescent="0.2">
      <c r="A2669" s="163">
        <v>42293</v>
      </c>
      <c r="B2669" s="162">
        <v>47.32</v>
      </c>
    </row>
    <row r="2670" spans="1:2" ht="18" x14ac:dyDescent="0.2">
      <c r="A2670" s="163">
        <v>42292</v>
      </c>
      <c r="B2670" s="162">
        <v>48.31</v>
      </c>
    </row>
    <row r="2671" spans="1:2" ht="18" x14ac:dyDescent="0.2">
      <c r="A2671" s="163">
        <v>42291</v>
      </c>
      <c r="B2671" s="162">
        <v>46.5</v>
      </c>
    </row>
    <row r="2672" spans="1:2" ht="18" x14ac:dyDescent="0.2">
      <c r="A2672" s="163">
        <v>42290</v>
      </c>
      <c r="B2672" s="162">
        <v>44.14</v>
      </c>
    </row>
    <row r="2673" spans="1:2" ht="18" x14ac:dyDescent="0.2">
      <c r="A2673" s="163">
        <v>42289</v>
      </c>
      <c r="B2673" s="162">
        <v>46.43</v>
      </c>
    </row>
    <row r="2674" spans="1:2" ht="18" x14ac:dyDescent="0.2">
      <c r="A2674" s="163">
        <v>42286</v>
      </c>
      <c r="B2674" s="162">
        <v>45.66</v>
      </c>
    </row>
    <row r="2675" spans="1:2" ht="18" x14ac:dyDescent="0.2">
      <c r="A2675" s="163">
        <v>42285</v>
      </c>
      <c r="B2675" s="162">
        <v>45.26</v>
      </c>
    </row>
    <row r="2676" spans="1:2" ht="18" x14ac:dyDescent="0.2">
      <c r="A2676" s="163">
        <v>42284</v>
      </c>
      <c r="B2676" s="162">
        <v>45.55</v>
      </c>
    </row>
    <row r="2677" spans="1:2" ht="18" x14ac:dyDescent="0.2">
      <c r="A2677" s="163">
        <v>42283</v>
      </c>
      <c r="B2677" s="162">
        <v>44.28</v>
      </c>
    </row>
    <row r="2678" spans="1:2" ht="18" x14ac:dyDescent="0.2">
      <c r="A2678" s="163">
        <v>42282</v>
      </c>
      <c r="B2678" s="162">
        <v>44.77</v>
      </c>
    </row>
    <row r="2679" spans="1:2" ht="18" x14ac:dyDescent="0.2">
      <c r="A2679" s="163">
        <v>42279</v>
      </c>
      <c r="B2679" s="162">
        <v>44.96</v>
      </c>
    </row>
    <row r="2680" spans="1:2" ht="18" x14ac:dyDescent="0.2">
      <c r="A2680" s="163">
        <v>42278</v>
      </c>
      <c r="B2680" s="162">
        <v>43.63</v>
      </c>
    </row>
    <row r="2681" spans="1:2" ht="18" x14ac:dyDescent="0.2">
      <c r="A2681" s="163">
        <v>42277</v>
      </c>
      <c r="B2681" s="162">
        <v>45.05</v>
      </c>
    </row>
    <row r="2682" spans="1:2" ht="18" x14ac:dyDescent="0.2">
      <c r="A2682" s="163">
        <v>42276</v>
      </c>
      <c r="B2682" s="162">
        <v>43.57</v>
      </c>
    </row>
    <row r="2683" spans="1:2" ht="18" x14ac:dyDescent="0.2">
      <c r="A2683" s="163">
        <v>42275</v>
      </c>
      <c r="B2683" s="162">
        <v>43.25</v>
      </c>
    </row>
    <row r="2684" spans="1:2" ht="18" x14ac:dyDescent="0.2">
      <c r="A2684" s="163">
        <v>42272</v>
      </c>
      <c r="B2684" s="162">
        <v>47.68</v>
      </c>
    </row>
    <row r="2685" spans="1:2" ht="18" x14ac:dyDescent="0.2">
      <c r="A2685" s="163">
        <v>42271</v>
      </c>
      <c r="B2685" s="162">
        <v>46.77</v>
      </c>
    </row>
    <row r="2686" spans="1:2" ht="18" x14ac:dyDescent="0.2">
      <c r="A2686" s="163">
        <v>42270</v>
      </c>
      <c r="B2686" s="162">
        <v>48.06</v>
      </c>
    </row>
    <row r="2687" spans="1:2" ht="18" x14ac:dyDescent="0.2">
      <c r="A2687" s="163">
        <v>42269</v>
      </c>
      <c r="B2687" s="162">
        <v>47.37</v>
      </c>
    </row>
    <row r="2688" spans="1:2" ht="18" x14ac:dyDescent="0.2">
      <c r="A2688" s="163">
        <v>42268</v>
      </c>
      <c r="B2688" s="162">
        <v>49.9</v>
      </c>
    </row>
    <row r="2689" spans="1:2" ht="18" x14ac:dyDescent="0.2">
      <c r="A2689" s="163">
        <v>42265</v>
      </c>
      <c r="B2689" s="162">
        <v>50.73</v>
      </c>
    </row>
    <row r="2690" spans="1:2" ht="18" x14ac:dyDescent="0.2">
      <c r="A2690" s="163">
        <v>42264</v>
      </c>
      <c r="B2690" s="162">
        <v>51.39</v>
      </c>
    </row>
    <row r="2691" spans="1:2" ht="18" x14ac:dyDescent="0.2">
      <c r="A2691" s="163">
        <v>42263</v>
      </c>
      <c r="B2691" s="162">
        <v>51.74</v>
      </c>
    </row>
    <row r="2692" spans="1:2" ht="18" x14ac:dyDescent="0.2">
      <c r="A2692" s="163">
        <v>42262</v>
      </c>
      <c r="B2692" s="162">
        <v>52.73</v>
      </c>
    </row>
    <row r="2693" spans="1:2" ht="18" x14ac:dyDescent="0.2">
      <c r="A2693" s="163">
        <v>42261</v>
      </c>
      <c r="B2693" s="162">
        <v>53.49</v>
      </c>
    </row>
    <row r="2694" spans="1:2" ht="18" x14ac:dyDescent="0.2">
      <c r="A2694" s="163">
        <v>42258</v>
      </c>
      <c r="B2694" s="162">
        <v>53.52</v>
      </c>
    </row>
    <row r="2695" spans="1:2" ht="18" x14ac:dyDescent="0.2">
      <c r="A2695" s="163">
        <v>42257</v>
      </c>
      <c r="B2695" s="162">
        <v>53.98</v>
      </c>
    </row>
    <row r="2696" spans="1:2" ht="18" x14ac:dyDescent="0.2">
      <c r="A2696" s="163">
        <v>42256</v>
      </c>
      <c r="B2696" s="162">
        <v>56.55</v>
      </c>
    </row>
    <row r="2697" spans="1:2" ht="18" x14ac:dyDescent="0.2">
      <c r="A2697" s="163">
        <v>42255</v>
      </c>
      <c r="B2697" s="162">
        <v>58.19</v>
      </c>
    </row>
    <row r="2698" spans="1:2" ht="18" x14ac:dyDescent="0.2">
      <c r="A2698" s="163">
        <v>42251</v>
      </c>
      <c r="B2698" s="162">
        <v>55.79</v>
      </c>
    </row>
    <row r="2699" spans="1:2" ht="18" x14ac:dyDescent="0.2">
      <c r="A2699" s="163">
        <v>42250</v>
      </c>
      <c r="B2699" s="162">
        <v>56.57</v>
      </c>
    </row>
    <row r="2700" spans="1:2" ht="18" x14ac:dyDescent="0.2">
      <c r="A2700" s="163">
        <v>42249</v>
      </c>
      <c r="B2700" s="162">
        <v>54.82</v>
      </c>
    </row>
    <row r="2701" spans="1:2" ht="18" x14ac:dyDescent="0.2">
      <c r="A2701" s="163">
        <v>42248</v>
      </c>
      <c r="B2701" s="162">
        <v>53.45</v>
      </c>
    </row>
    <row r="2702" spans="1:2" ht="18" x14ac:dyDescent="0.2">
      <c r="A2702" s="163">
        <v>42247</v>
      </c>
      <c r="B2702" s="162">
        <v>55.51</v>
      </c>
    </row>
    <row r="2703" spans="1:2" ht="18" x14ac:dyDescent="0.2">
      <c r="A2703" s="163">
        <v>42244</v>
      </c>
      <c r="B2703" s="162">
        <v>55.79</v>
      </c>
    </row>
    <row r="2704" spans="1:2" ht="18" x14ac:dyDescent="0.2">
      <c r="A2704" s="163">
        <v>42243</v>
      </c>
      <c r="B2704" s="162">
        <v>54.74</v>
      </c>
    </row>
    <row r="2705" spans="1:2" ht="18" x14ac:dyDescent="0.2">
      <c r="A2705" s="163">
        <v>42242</v>
      </c>
      <c r="B2705" s="162">
        <v>52.75</v>
      </c>
    </row>
    <row r="2706" spans="1:2" ht="18" x14ac:dyDescent="0.2">
      <c r="A2706" s="163">
        <v>42241</v>
      </c>
      <c r="B2706" s="162">
        <v>49.81</v>
      </c>
    </row>
    <row r="2707" spans="1:2" ht="18" x14ac:dyDescent="0.2">
      <c r="A2707" s="163">
        <v>42240</v>
      </c>
      <c r="B2707" s="162">
        <v>48.5</v>
      </c>
    </row>
    <row r="2708" spans="1:2" ht="18" x14ac:dyDescent="0.2">
      <c r="A2708" s="163">
        <v>42237</v>
      </c>
      <c r="B2708" s="162">
        <v>49.99</v>
      </c>
    </row>
    <row r="2709" spans="1:2" ht="18" x14ac:dyDescent="0.2">
      <c r="A2709" s="163">
        <v>42236</v>
      </c>
      <c r="B2709" s="162">
        <v>52.36</v>
      </c>
    </row>
    <row r="2710" spans="1:2" ht="18" x14ac:dyDescent="0.2">
      <c r="A2710" s="163">
        <v>42235</v>
      </c>
      <c r="B2710" s="162">
        <v>55.59</v>
      </c>
    </row>
    <row r="2711" spans="1:2" ht="18" x14ac:dyDescent="0.2">
      <c r="A2711" s="163">
        <v>42234</v>
      </c>
      <c r="B2711" s="162">
        <v>55.93</v>
      </c>
    </row>
    <row r="2712" spans="1:2" ht="18" x14ac:dyDescent="0.2">
      <c r="A2712" s="163">
        <v>42233</v>
      </c>
      <c r="B2712" s="162">
        <v>58.28</v>
      </c>
    </row>
    <row r="2713" spans="1:2" ht="18" x14ac:dyDescent="0.2">
      <c r="A2713" s="163">
        <v>42230</v>
      </c>
      <c r="B2713" s="162">
        <v>58.24</v>
      </c>
    </row>
    <row r="2714" spans="1:2" ht="18" x14ac:dyDescent="0.2">
      <c r="A2714" s="163">
        <v>42229</v>
      </c>
      <c r="B2714" s="162">
        <v>58.32</v>
      </c>
    </row>
    <row r="2715" spans="1:2" ht="18" x14ac:dyDescent="0.2">
      <c r="A2715" s="163">
        <v>42228</v>
      </c>
      <c r="B2715" s="162">
        <v>56.96</v>
      </c>
    </row>
    <row r="2716" spans="1:2" ht="18" x14ac:dyDescent="0.2">
      <c r="A2716" s="163">
        <v>42227</v>
      </c>
      <c r="B2716" s="162">
        <v>53.86</v>
      </c>
    </row>
    <row r="2717" spans="1:2" ht="18" x14ac:dyDescent="0.2">
      <c r="A2717" s="163">
        <v>42226</v>
      </c>
      <c r="B2717" s="162">
        <v>54.53</v>
      </c>
    </row>
    <row r="2718" spans="1:2" ht="18" x14ac:dyDescent="0.2">
      <c r="A2718" s="163">
        <v>42223</v>
      </c>
      <c r="B2718" s="162">
        <v>52.2</v>
      </c>
    </row>
    <row r="2719" spans="1:2" ht="18" x14ac:dyDescent="0.2">
      <c r="A2719" s="163">
        <v>42222</v>
      </c>
      <c r="B2719" s="162">
        <v>51.83</v>
      </c>
    </row>
    <row r="2720" spans="1:2" ht="18" x14ac:dyDescent="0.2">
      <c r="A2720" s="163">
        <v>42221</v>
      </c>
      <c r="B2720" s="162">
        <v>54.83</v>
      </c>
    </row>
    <row r="2721" spans="1:2" ht="18" x14ac:dyDescent="0.2">
      <c r="A2721" s="163">
        <v>42220</v>
      </c>
      <c r="B2721" s="162">
        <v>55.06</v>
      </c>
    </row>
    <row r="2722" spans="1:2" ht="18" x14ac:dyDescent="0.2">
      <c r="A2722" s="163">
        <v>42219</v>
      </c>
      <c r="B2722" s="162">
        <v>57.52</v>
      </c>
    </row>
    <row r="2723" spans="1:2" ht="18" x14ac:dyDescent="0.2">
      <c r="A2723" s="163">
        <v>42216</v>
      </c>
      <c r="B2723" s="162">
        <v>57.95</v>
      </c>
    </row>
    <row r="2724" spans="1:2" ht="18" x14ac:dyDescent="0.2">
      <c r="A2724" s="163">
        <v>42215</v>
      </c>
      <c r="B2724" s="162">
        <v>60.49</v>
      </c>
    </row>
    <row r="2725" spans="1:2" ht="18" x14ac:dyDescent="0.2">
      <c r="A2725" s="163">
        <v>42214</v>
      </c>
      <c r="B2725" s="162">
        <v>70.47</v>
      </c>
    </row>
    <row r="2726" spans="1:2" ht="18" x14ac:dyDescent="0.2">
      <c r="A2726" s="163">
        <v>42213</v>
      </c>
      <c r="B2726" s="162">
        <v>70.75</v>
      </c>
    </row>
    <row r="2727" spans="1:2" ht="18" x14ac:dyDescent="0.2">
      <c r="A2727" s="163">
        <v>42212</v>
      </c>
      <c r="B2727" s="162">
        <v>69.94</v>
      </c>
    </row>
    <row r="2728" spans="1:2" ht="18" x14ac:dyDescent="0.2">
      <c r="A2728" s="163">
        <v>42209</v>
      </c>
      <c r="B2728" s="162">
        <v>72.28</v>
      </c>
    </row>
    <row r="2729" spans="1:2" ht="18" x14ac:dyDescent="0.2">
      <c r="A2729" s="163">
        <v>42208</v>
      </c>
      <c r="B2729" s="162">
        <v>75.239999999999995</v>
      </c>
    </row>
    <row r="2730" spans="1:2" ht="18" x14ac:dyDescent="0.2">
      <c r="A2730" s="163">
        <v>42207</v>
      </c>
      <c r="B2730" s="162">
        <v>74.17</v>
      </c>
    </row>
    <row r="2731" spans="1:2" ht="18" x14ac:dyDescent="0.2">
      <c r="A2731" s="163">
        <v>42206</v>
      </c>
      <c r="B2731" s="162">
        <v>77.45</v>
      </c>
    </row>
    <row r="2732" spans="1:2" ht="18" x14ac:dyDescent="0.2">
      <c r="A2732" s="163">
        <v>42205</v>
      </c>
      <c r="B2732" s="162">
        <v>76.7</v>
      </c>
    </row>
    <row r="2733" spans="1:2" ht="18" x14ac:dyDescent="0.2">
      <c r="A2733" s="163">
        <v>42202</v>
      </c>
      <c r="B2733" s="162">
        <v>78.86</v>
      </c>
    </row>
    <row r="2734" spans="1:2" ht="18" x14ac:dyDescent="0.2">
      <c r="A2734" s="163">
        <v>42201</v>
      </c>
      <c r="B2734" s="162">
        <v>80.239999999999995</v>
      </c>
    </row>
    <row r="2735" spans="1:2" ht="18" x14ac:dyDescent="0.2">
      <c r="A2735" s="163">
        <v>42200</v>
      </c>
      <c r="B2735" s="162">
        <v>77.88</v>
      </c>
    </row>
    <row r="2736" spans="1:2" ht="18" x14ac:dyDescent="0.2">
      <c r="A2736" s="163">
        <v>42199</v>
      </c>
      <c r="B2736" s="162">
        <v>77.959999999999994</v>
      </c>
    </row>
    <row r="2737" spans="1:2" ht="18" x14ac:dyDescent="0.2">
      <c r="A2737" s="163">
        <v>42198</v>
      </c>
      <c r="B2737" s="162">
        <v>76.61</v>
      </c>
    </row>
    <row r="2738" spans="1:2" ht="18" x14ac:dyDescent="0.2">
      <c r="A2738" s="163">
        <v>42195</v>
      </c>
      <c r="B2738" s="162">
        <v>76.16</v>
      </c>
    </row>
    <row r="2739" spans="1:2" ht="18" x14ac:dyDescent="0.2">
      <c r="A2739" s="163">
        <v>42194</v>
      </c>
      <c r="B2739" s="162">
        <v>74.63</v>
      </c>
    </row>
    <row r="2740" spans="1:2" ht="18" x14ac:dyDescent="0.2">
      <c r="A2740" s="163">
        <v>42193</v>
      </c>
      <c r="B2740" s="162">
        <v>74.680000000000007</v>
      </c>
    </row>
    <row r="2741" spans="1:2" ht="18" x14ac:dyDescent="0.2">
      <c r="A2741" s="163">
        <v>42192</v>
      </c>
      <c r="B2741" s="162">
        <v>79.95</v>
      </c>
    </row>
    <row r="2742" spans="1:2" ht="18" x14ac:dyDescent="0.2">
      <c r="A2742" s="163">
        <v>42191</v>
      </c>
      <c r="B2742" s="162">
        <v>79.989999999999995</v>
      </c>
    </row>
    <row r="2743" spans="1:2" ht="18" x14ac:dyDescent="0.2">
      <c r="A2743" s="163">
        <v>42187</v>
      </c>
      <c r="B2743" s="162">
        <v>81.36</v>
      </c>
    </row>
    <row r="2744" spans="1:2" ht="18" x14ac:dyDescent="0.2">
      <c r="A2744" s="163">
        <v>42186</v>
      </c>
      <c r="B2744" s="162">
        <v>80.36</v>
      </c>
    </row>
    <row r="2745" spans="1:2" ht="18" x14ac:dyDescent="0.2">
      <c r="A2745" s="163">
        <v>42185</v>
      </c>
      <c r="B2745" s="162">
        <v>80.27</v>
      </c>
    </row>
    <row r="2746" spans="1:2" ht="18" x14ac:dyDescent="0.2">
      <c r="A2746" s="163">
        <v>42184</v>
      </c>
      <c r="B2746" s="162">
        <v>79.06</v>
      </c>
    </row>
    <row r="2747" spans="1:2" ht="18" x14ac:dyDescent="0.2">
      <c r="A2747" s="163">
        <v>42181</v>
      </c>
      <c r="B2747" s="162">
        <v>80.41</v>
      </c>
    </row>
    <row r="2748" spans="1:2" ht="18" x14ac:dyDescent="0.2">
      <c r="A2748" s="163">
        <v>42180</v>
      </c>
      <c r="B2748" s="162">
        <v>84.98</v>
      </c>
    </row>
    <row r="2749" spans="1:2" ht="18" x14ac:dyDescent="0.2">
      <c r="A2749" s="163">
        <v>42179</v>
      </c>
      <c r="B2749" s="162">
        <v>84.59</v>
      </c>
    </row>
    <row r="2750" spans="1:2" ht="18" x14ac:dyDescent="0.2">
      <c r="A2750" s="163">
        <v>42178</v>
      </c>
      <c r="B2750" s="162">
        <v>85.31</v>
      </c>
    </row>
    <row r="2751" spans="1:2" ht="18" x14ac:dyDescent="0.2">
      <c r="A2751" s="163">
        <v>42177</v>
      </c>
      <c r="B2751" s="162">
        <v>87.81</v>
      </c>
    </row>
    <row r="2752" spans="1:2" ht="18" x14ac:dyDescent="0.2">
      <c r="A2752" s="163">
        <v>42174</v>
      </c>
      <c r="B2752" s="162">
        <v>85.25</v>
      </c>
    </row>
    <row r="2753" spans="1:2" ht="18" x14ac:dyDescent="0.2">
      <c r="A2753" s="163">
        <v>42173</v>
      </c>
      <c r="B2753" s="162">
        <v>84.65</v>
      </c>
    </row>
    <row r="2754" spans="1:2" ht="18" x14ac:dyDescent="0.2">
      <c r="A2754" s="163">
        <v>42172</v>
      </c>
      <c r="B2754" s="162">
        <v>84.56</v>
      </c>
    </row>
    <row r="2755" spans="1:2" ht="18" x14ac:dyDescent="0.2">
      <c r="A2755" s="163">
        <v>42171</v>
      </c>
      <c r="B2755" s="162">
        <v>84.75</v>
      </c>
    </row>
    <row r="2756" spans="1:2" ht="18" x14ac:dyDescent="0.2">
      <c r="A2756" s="163">
        <v>42170</v>
      </c>
      <c r="B2756" s="162">
        <v>82.18</v>
      </c>
    </row>
    <row r="2757" spans="1:2" ht="18" x14ac:dyDescent="0.2">
      <c r="A2757" s="163">
        <v>42167</v>
      </c>
      <c r="B2757" s="162">
        <v>83.51</v>
      </c>
    </row>
    <row r="2758" spans="1:2" ht="18" x14ac:dyDescent="0.2">
      <c r="A2758" s="163">
        <v>42166</v>
      </c>
      <c r="B2758" s="162">
        <v>82</v>
      </c>
    </row>
    <row r="2759" spans="1:2" ht="18" x14ac:dyDescent="0.2">
      <c r="A2759" s="163">
        <v>42165</v>
      </c>
      <c r="B2759" s="162">
        <v>82.5</v>
      </c>
    </row>
    <row r="2760" spans="1:2" ht="18" x14ac:dyDescent="0.2">
      <c r="A2760" s="163">
        <v>42164</v>
      </c>
      <c r="B2760" s="162">
        <v>80.05</v>
      </c>
    </row>
    <row r="2761" spans="1:2" ht="18" x14ac:dyDescent="0.2">
      <c r="A2761" s="163">
        <v>42163</v>
      </c>
      <c r="B2761" s="162">
        <v>80.239999999999995</v>
      </c>
    </row>
    <row r="2762" spans="1:2" ht="18" x14ac:dyDescent="0.2">
      <c r="A2762" s="163">
        <v>42160</v>
      </c>
      <c r="B2762" s="162">
        <v>83.7</v>
      </c>
    </row>
    <row r="2763" spans="1:2" ht="18" x14ac:dyDescent="0.2">
      <c r="A2763" s="163">
        <v>42159</v>
      </c>
      <c r="B2763" s="162">
        <v>81.319999999999993</v>
      </c>
    </row>
    <row r="2764" spans="1:2" ht="18" x14ac:dyDescent="0.2">
      <c r="A2764" s="163">
        <v>42158</v>
      </c>
      <c r="B2764" s="162">
        <v>81.55</v>
      </c>
    </row>
    <row r="2765" spans="1:2" ht="18" x14ac:dyDescent="0.2">
      <c r="A2765" s="163">
        <v>42157</v>
      </c>
      <c r="B2765" s="162">
        <v>80.86</v>
      </c>
    </row>
    <row r="2766" spans="1:2" ht="18" x14ac:dyDescent="0.2">
      <c r="A2766" s="163">
        <v>42156</v>
      </c>
      <c r="B2766" s="162">
        <v>80.94</v>
      </c>
    </row>
    <row r="2767" spans="1:2" ht="18" x14ac:dyDescent="0.2">
      <c r="A2767" s="163">
        <v>42153</v>
      </c>
      <c r="B2767" s="162">
        <v>82.15</v>
      </c>
    </row>
    <row r="2768" spans="1:2" ht="18" x14ac:dyDescent="0.2">
      <c r="A2768" s="163">
        <v>42152</v>
      </c>
      <c r="B2768" s="162">
        <v>82.3</v>
      </c>
    </row>
    <row r="2769" spans="1:2" ht="18" x14ac:dyDescent="0.2">
      <c r="A2769" s="163">
        <v>42151</v>
      </c>
      <c r="B2769" s="162">
        <v>86.4</v>
      </c>
    </row>
    <row r="2770" spans="1:2" ht="18" x14ac:dyDescent="0.2">
      <c r="A2770" s="163">
        <v>42150</v>
      </c>
      <c r="B2770" s="162">
        <v>82.46</v>
      </c>
    </row>
    <row r="2771" spans="1:2" ht="18" x14ac:dyDescent="0.2">
      <c r="A2771" s="163">
        <v>42146</v>
      </c>
      <c r="B2771" s="162">
        <v>84.03</v>
      </c>
    </row>
    <row r="2772" spans="1:2" ht="18" x14ac:dyDescent="0.2">
      <c r="A2772" s="163">
        <v>42145</v>
      </c>
      <c r="B2772" s="162">
        <v>81.260000000000005</v>
      </c>
    </row>
    <row r="2773" spans="1:2" ht="18" x14ac:dyDescent="0.2">
      <c r="A2773" s="163">
        <v>42144</v>
      </c>
      <c r="B2773" s="162">
        <v>81.150000000000006</v>
      </c>
    </row>
    <row r="2774" spans="1:2" ht="18" x14ac:dyDescent="0.2">
      <c r="A2774" s="163">
        <v>42143</v>
      </c>
      <c r="B2774" s="162">
        <v>80.099999999999994</v>
      </c>
    </row>
    <row r="2775" spans="1:2" ht="18" x14ac:dyDescent="0.2">
      <c r="A2775" s="163">
        <v>42142</v>
      </c>
      <c r="B2775" s="162">
        <v>80.3</v>
      </c>
    </row>
    <row r="2776" spans="1:2" ht="18" x14ac:dyDescent="0.2">
      <c r="A2776" s="163">
        <v>42139</v>
      </c>
      <c r="B2776" s="162">
        <v>76.540000000000006</v>
      </c>
    </row>
    <row r="2777" spans="1:2" ht="18" x14ac:dyDescent="0.2">
      <c r="A2777" s="163">
        <v>42138</v>
      </c>
      <c r="B2777" s="162">
        <v>76.98</v>
      </c>
    </row>
    <row r="2778" spans="1:2" ht="18" x14ac:dyDescent="0.2">
      <c r="A2778" s="163">
        <v>42137</v>
      </c>
      <c r="B2778" s="162">
        <v>74.959999999999994</v>
      </c>
    </row>
    <row r="2779" spans="1:2" ht="18" x14ac:dyDescent="0.2">
      <c r="A2779" s="163">
        <v>42136</v>
      </c>
      <c r="B2779" s="162">
        <v>74.75</v>
      </c>
    </row>
    <row r="2780" spans="1:2" ht="18" x14ac:dyDescent="0.2">
      <c r="A2780" s="163">
        <v>42135</v>
      </c>
      <c r="B2780" s="162">
        <v>74.56</v>
      </c>
    </row>
    <row r="2781" spans="1:2" ht="18" x14ac:dyDescent="0.2">
      <c r="A2781" s="163">
        <v>42132</v>
      </c>
      <c r="B2781" s="162">
        <v>76.56</v>
      </c>
    </row>
    <row r="2782" spans="1:2" ht="18" x14ac:dyDescent="0.2">
      <c r="A2782" s="163">
        <v>42131</v>
      </c>
      <c r="B2782" s="162">
        <v>75.56</v>
      </c>
    </row>
    <row r="2783" spans="1:2" ht="18" x14ac:dyDescent="0.2">
      <c r="A2783" s="163">
        <v>42130</v>
      </c>
      <c r="B2783" s="162">
        <v>69.06</v>
      </c>
    </row>
    <row r="2784" spans="1:2" ht="18" x14ac:dyDescent="0.2">
      <c r="A2784" s="163">
        <v>42129</v>
      </c>
      <c r="B2784" s="162">
        <v>67.069999999999993</v>
      </c>
    </row>
    <row r="2785" spans="1:2" ht="18" x14ac:dyDescent="0.2">
      <c r="A2785" s="163">
        <v>42128</v>
      </c>
      <c r="B2785" s="162">
        <v>68.989999999999995</v>
      </c>
    </row>
    <row r="2786" spans="1:2" ht="18" x14ac:dyDescent="0.2">
      <c r="A2786" s="163">
        <v>42125</v>
      </c>
      <c r="B2786" s="162">
        <v>69.599999999999994</v>
      </c>
    </row>
    <row r="2787" spans="1:2" ht="18" x14ac:dyDescent="0.2">
      <c r="A2787" s="163">
        <v>42124</v>
      </c>
      <c r="B2787" s="162">
        <v>65.91</v>
      </c>
    </row>
    <row r="2788" spans="1:2" ht="18" x14ac:dyDescent="0.2">
      <c r="A2788" s="163">
        <v>42123</v>
      </c>
      <c r="B2788" s="162">
        <v>68.650000000000006</v>
      </c>
    </row>
    <row r="2789" spans="1:2" ht="18" x14ac:dyDescent="0.2">
      <c r="A2789" s="163">
        <v>42122</v>
      </c>
      <c r="B2789" s="162">
        <v>67.86</v>
      </c>
    </row>
    <row r="2790" spans="1:2" ht="18" x14ac:dyDescent="0.2">
      <c r="A2790" s="163">
        <v>42121</v>
      </c>
      <c r="B2790" s="162">
        <v>69.37</v>
      </c>
    </row>
    <row r="2791" spans="1:2" ht="18" x14ac:dyDescent="0.2">
      <c r="A2791" s="163">
        <v>42118</v>
      </c>
      <c r="B2791" s="162">
        <v>70.12</v>
      </c>
    </row>
    <row r="2792" spans="1:2" ht="18" x14ac:dyDescent="0.2">
      <c r="A2792" s="163">
        <v>42117</v>
      </c>
      <c r="B2792" s="162">
        <v>73.27</v>
      </c>
    </row>
    <row r="2793" spans="1:2" ht="18" x14ac:dyDescent="0.2">
      <c r="A2793" s="163">
        <v>42116</v>
      </c>
      <c r="B2793" s="162">
        <v>74.48</v>
      </c>
    </row>
    <row r="2794" spans="1:2" ht="18" x14ac:dyDescent="0.2">
      <c r="A2794" s="163">
        <v>42115</v>
      </c>
      <c r="B2794" s="162">
        <v>74.069999999999993</v>
      </c>
    </row>
    <row r="2795" spans="1:2" ht="18" x14ac:dyDescent="0.2">
      <c r="A2795" s="163">
        <v>42114</v>
      </c>
      <c r="B2795" s="162">
        <v>72.010000000000005</v>
      </c>
    </row>
    <row r="2796" spans="1:2" ht="18" x14ac:dyDescent="0.2">
      <c r="A2796" s="163">
        <v>42111</v>
      </c>
      <c r="B2796" s="162">
        <v>70.069999999999993</v>
      </c>
    </row>
    <row r="2797" spans="1:2" ht="18" x14ac:dyDescent="0.2">
      <c r="A2797" s="163">
        <v>42110</v>
      </c>
      <c r="B2797" s="162">
        <v>71.459999999999994</v>
      </c>
    </row>
    <row r="2798" spans="1:2" ht="18" x14ac:dyDescent="0.2">
      <c r="A2798" s="163">
        <v>42109</v>
      </c>
      <c r="B2798" s="162">
        <v>70.91</v>
      </c>
    </row>
    <row r="2799" spans="1:2" ht="18" x14ac:dyDescent="0.2">
      <c r="A2799" s="163">
        <v>42108</v>
      </c>
      <c r="B2799" s="162">
        <v>70.5</v>
      </c>
    </row>
    <row r="2800" spans="1:2" ht="18" x14ac:dyDescent="0.2">
      <c r="A2800" s="163">
        <v>42107</v>
      </c>
      <c r="B2800" s="162">
        <v>72.63</v>
      </c>
    </row>
    <row r="2801" spans="1:2" ht="18" x14ac:dyDescent="0.2">
      <c r="A2801" s="163">
        <v>42104</v>
      </c>
      <c r="B2801" s="162">
        <v>73.58</v>
      </c>
    </row>
    <row r="2802" spans="1:2" ht="18" x14ac:dyDescent="0.2">
      <c r="A2802" s="163">
        <v>42103</v>
      </c>
      <c r="B2802" s="162">
        <v>74.63</v>
      </c>
    </row>
    <row r="2803" spans="1:2" ht="18" x14ac:dyDescent="0.2">
      <c r="A2803" s="163">
        <v>42102</v>
      </c>
      <c r="B2803" s="162">
        <v>72.84</v>
      </c>
    </row>
    <row r="2804" spans="1:2" ht="18" x14ac:dyDescent="0.2">
      <c r="A2804" s="163">
        <v>42101</v>
      </c>
      <c r="B2804" s="162">
        <v>73.23</v>
      </c>
    </row>
    <row r="2805" spans="1:2" ht="18" x14ac:dyDescent="0.2">
      <c r="A2805" s="163">
        <v>42100</v>
      </c>
      <c r="B2805" s="162">
        <v>76.510000000000005</v>
      </c>
    </row>
    <row r="2806" spans="1:2" ht="18" x14ac:dyDescent="0.2">
      <c r="A2806" s="163">
        <v>42096</v>
      </c>
      <c r="B2806" s="162">
        <v>77.790000000000006</v>
      </c>
    </row>
    <row r="2807" spans="1:2" ht="18" x14ac:dyDescent="0.2">
      <c r="A2807" s="163">
        <v>42095</v>
      </c>
      <c r="B2807" s="162">
        <v>78.8</v>
      </c>
    </row>
    <row r="2808" spans="1:2" ht="18" x14ac:dyDescent="0.2">
      <c r="A2808" s="163">
        <v>42094</v>
      </c>
      <c r="B2808" s="162">
        <v>79.7</v>
      </c>
    </row>
    <row r="2809" spans="1:2" ht="18" x14ac:dyDescent="0.2">
      <c r="A2809" s="163">
        <v>42093</v>
      </c>
      <c r="B2809" s="162">
        <v>81.400000000000006</v>
      </c>
    </row>
    <row r="2810" spans="1:2" ht="18" x14ac:dyDescent="0.2">
      <c r="A2810" s="163">
        <v>42090</v>
      </c>
      <c r="B2810" s="162">
        <v>79.28</v>
      </c>
    </row>
    <row r="2811" spans="1:2" ht="18" x14ac:dyDescent="0.2">
      <c r="A2811" s="163">
        <v>42089</v>
      </c>
      <c r="B2811" s="162">
        <v>77.19</v>
      </c>
    </row>
    <row r="2812" spans="1:2" ht="18" x14ac:dyDescent="0.2">
      <c r="A2812" s="163">
        <v>42088</v>
      </c>
      <c r="B2812" s="162">
        <v>77.13</v>
      </c>
    </row>
    <row r="2813" spans="1:2" ht="18" x14ac:dyDescent="0.2">
      <c r="A2813" s="163">
        <v>42087</v>
      </c>
      <c r="B2813" s="162">
        <v>83.21</v>
      </c>
    </row>
    <row r="2814" spans="1:2" ht="18" x14ac:dyDescent="0.2">
      <c r="A2814" s="163">
        <v>42086</v>
      </c>
      <c r="B2814" s="162">
        <v>84.09</v>
      </c>
    </row>
    <row r="2815" spans="1:2" ht="18" x14ac:dyDescent="0.2">
      <c r="A2815" s="163">
        <v>42083</v>
      </c>
      <c r="B2815" s="162">
        <v>80.8</v>
      </c>
    </row>
    <row r="2816" spans="1:2" ht="18" x14ac:dyDescent="0.2">
      <c r="A2816" s="163">
        <v>42082</v>
      </c>
      <c r="B2816" s="162">
        <v>80.38</v>
      </c>
    </row>
    <row r="2817" spans="1:2" ht="18" x14ac:dyDescent="0.2">
      <c r="A2817" s="163">
        <v>42081</v>
      </c>
      <c r="B2817" s="162">
        <v>79.959999999999994</v>
      </c>
    </row>
    <row r="2818" spans="1:2" ht="18" x14ac:dyDescent="0.2">
      <c r="A2818" s="163">
        <v>42080</v>
      </c>
      <c r="B2818" s="162">
        <v>77.709999999999994</v>
      </c>
    </row>
    <row r="2819" spans="1:2" ht="18" x14ac:dyDescent="0.2">
      <c r="A2819" s="163">
        <v>42079</v>
      </c>
      <c r="B2819" s="162">
        <v>76.33</v>
      </c>
    </row>
    <row r="2820" spans="1:2" ht="18" x14ac:dyDescent="0.2">
      <c r="A2820" s="163">
        <v>42076</v>
      </c>
      <c r="B2820" s="162">
        <v>72.569999999999993</v>
      </c>
    </row>
    <row r="2821" spans="1:2" ht="18" x14ac:dyDescent="0.2">
      <c r="A2821" s="163">
        <v>42075</v>
      </c>
      <c r="B2821" s="162">
        <v>73.42</v>
      </c>
    </row>
    <row r="2822" spans="1:2" ht="18" x14ac:dyDescent="0.2">
      <c r="A2822" s="163">
        <v>42074</v>
      </c>
      <c r="B2822" s="162">
        <v>72.95</v>
      </c>
    </row>
    <row r="2823" spans="1:2" ht="18" x14ac:dyDescent="0.2">
      <c r="A2823" s="163">
        <v>42073</v>
      </c>
      <c r="B2823" s="162">
        <v>72.150000000000006</v>
      </c>
    </row>
    <row r="2824" spans="1:2" ht="18" x14ac:dyDescent="0.2">
      <c r="A2824" s="163">
        <v>42072</v>
      </c>
      <c r="B2824" s="162">
        <v>74.83</v>
      </c>
    </row>
    <row r="2825" spans="1:2" ht="18" x14ac:dyDescent="0.2">
      <c r="A2825" s="163">
        <v>42069</v>
      </c>
      <c r="B2825" s="162">
        <v>72.98</v>
      </c>
    </row>
    <row r="2826" spans="1:2" ht="18" x14ac:dyDescent="0.2">
      <c r="A2826" s="163">
        <v>42068</v>
      </c>
      <c r="B2826" s="162">
        <v>74.510000000000005</v>
      </c>
    </row>
    <row r="2827" spans="1:2" ht="18" x14ac:dyDescent="0.2">
      <c r="A2827" s="163">
        <v>42067</v>
      </c>
      <c r="B2827" s="162">
        <v>72.02</v>
      </c>
    </row>
    <row r="2828" spans="1:2" ht="18" x14ac:dyDescent="0.2">
      <c r="A2828" s="163">
        <v>42066</v>
      </c>
      <c r="B2828" s="162">
        <v>70.84</v>
      </c>
    </row>
    <row r="2829" spans="1:2" ht="18" x14ac:dyDescent="0.2">
      <c r="A2829" s="163">
        <v>42065</v>
      </c>
      <c r="B2829" s="162">
        <v>69.349999999999994</v>
      </c>
    </row>
    <row r="2830" spans="1:2" ht="18" x14ac:dyDescent="0.2">
      <c r="A2830" s="163">
        <v>42062</v>
      </c>
      <c r="B2830" s="162">
        <v>69.400000000000006</v>
      </c>
    </row>
    <row r="2831" spans="1:2" ht="18" x14ac:dyDescent="0.2">
      <c r="A2831" s="163">
        <v>42061</v>
      </c>
      <c r="B2831" s="162">
        <v>71.53</v>
      </c>
    </row>
    <row r="2832" spans="1:2" ht="18" x14ac:dyDescent="0.2">
      <c r="A2832" s="163">
        <v>42060</v>
      </c>
      <c r="B2832" s="162">
        <v>67.209999999999994</v>
      </c>
    </row>
    <row r="2833" spans="1:2" ht="18" x14ac:dyDescent="0.2">
      <c r="A2833" s="163">
        <v>42059</v>
      </c>
      <c r="B2833" s="162">
        <v>69.34</v>
      </c>
    </row>
    <row r="2834" spans="1:2" ht="18" x14ac:dyDescent="0.2">
      <c r="A2834" s="163">
        <v>42058</v>
      </c>
      <c r="B2834" s="162">
        <v>65.05</v>
      </c>
    </row>
    <row r="2835" spans="1:2" ht="18" x14ac:dyDescent="0.2">
      <c r="A2835" s="163">
        <v>42055</v>
      </c>
      <c r="B2835" s="162">
        <v>65.17</v>
      </c>
    </row>
    <row r="2836" spans="1:2" ht="18" x14ac:dyDescent="0.2">
      <c r="A2836" s="163">
        <v>42054</v>
      </c>
      <c r="B2836" s="162">
        <v>65.3</v>
      </c>
    </row>
    <row r="2837" spans="1:2" ht="18" x14ac:dyDescent="0.2">
      <c r="A2837" s="163">
        <v>42053</v>
      </c>
      <c r="B2837" s="162">
        <v>67.540000000000006</v>
      </c>
    </row>
    <row r="2838" spans="1:2" ht="18" x14ac:dyDescent="0.2">
      <c r="A2838" s="163">
        <v>42052</v>
      </c>
      <c r="B2838" s="162">
        <v>69.44</v>
      </c>
    </row>
    <row r="2839" spans="1:2" ht="18" x14ac:dyDescent="0.2">
      <c r="A2839" s="163">
        <v>42048</v>
      </c>
      <c r="B2839" s="162">
        <v>70.03</v>
      </c>
    </row>
    <row r="2840" spans="1:2" ht="18" x14ac:dyDescent="0.2">
      <c r="A2840" s="163">
        <v>42047</v>
      </c>
      <c r="B2840" s="162">
        <v>66.2</v>
      </c>
    </row>
    <row r="2841" spans="1:2" ht="18" x14ac:dyDescent="0.2">
      <c r="A2841" s="163">
        <v>42046</v>
      </c>
      <c r="B2841" s="162">
        <v>64.75</v>
      </c>
    </row>
    <row r="2842" spans="1:2" ht="18" x14ac:dyDescent="0.2">
      <c r="A2842" s="163">
        <v>42045</v>
      </c>
      <c r="B2842" s="162">
        <v>65.02</v>
      </c>
    </row>
    <row r="2843" spans="1:2" ht="18" x14ac:dyDescent="0.2">
      <c r="A2843" s="163">
        <v>42044</v>
      </c>
      <c r="B2843" s="162">
        <v>63.74</v>
      </c>
    </row>
    <row r="2844" spans="1:2" ht="18" x14ac:dyDescent="0.2">
      <c r="A2844" s="163">
        <v>42041</v>
      </c>
      <c r="B2844" s="162">
        <v>65.89</v>
      </c>
    </row>
    <row r="2845" spans="1:2" ht="18" x14ac:dyDescent="0.2">
      <c r="A2845" s="163">
        <v>42040</v>
      </c>
      <c r="B2845" s="162">
        <v>67.39</v>
      </c>
    </row>
    <row r="2846" spans="1:2" ht="18" x14ac:dyDescent="0.2">
      <c r="A2846" s="163">
        <v>42039</v>
      </c>
      <c r="B2846" s="162">
        <v>68.33</v>
      </c>
    </row>
    <row r="2847" spans="1:2" ht="18" x14ac:dyDescent="0.2">
      <c r="A2847" s="163">
        <v>42038</v>
      </c>
      <c r="B2847" s="162">
        <v>68.52</v>
      </c>
    </row>
    <row r="2848" spans="1:2" ht="18" x14ac:dyDescent="0.2">
      <c r="A2848" s="163">
        <v>42037</v>
      </c>
      <c r="B2848" s="162">
        <v>68.72</v>
      </c>
    </row>
    <row r="2849" spans="1:2" ht="18" x14ac:dyDescent="0.2">
      <c r="A2849" s="163">
        <v>42034</v>
      </c>
      <c r="B2849" s="162">
        <v>73.87</v>
      </c>
    </row>
    <row r="2850" spans="1:2" ht="18" x14ac:dyDescent="0.2">
      <c r="A2850" s="163">
        <v>42033</v>
      </c>
      <c r="B2850" s="162">
        <v>75.760000000000005</v>
      </c>
    </row>
    <row r="2851" spans="1:2" ht="18" x14ac:dyDescent="0.2">
      <c r="A2851" s="163">
        <v>42032</v>
      </c>
      <c r="B2851" s="162">
        <v>75.5</v>
      </c>
    </row>
    <row r="2852" spans="1:2" ht="18" x14ac:dyDescent="0.2">
      <c r="A2852" s="163">
        <v>42031</v>
      </c>
      <c r="B2852" s="162">
        <v>73.75</v>
      </c>
    </row>
    <row r="2853" spans="1:2" ht="18" x14ac:dyDescent="0.2">
      <c r="A2853" s="163">
        <v>42030</v>
      </c>
      <c r="B2853" s="162">
        <v>73.150000000000006</v>
      </c>
    </row>
    <row r="2854" spans="1:2" ht="18" x14ac:dyDescent="0.2">
      <c r="A2854" s="163">
        <v>42027</v>
      </c>
      <c r="B2854" s="162">
        <v>73.37</v>
      </c>
    </row>
    <row r="2855" spans="1:2" ht="18" x14ac:dyDescent="0.2">
      <c r="A2855" s="163">
        <v>42026</v>
      </c>
      <c r="B2855" s="162">
        <v>70.61</v>
      </c>
    </row>
    <row r="2856" spans="1:2" ht="18" x14ac:dyDescent="0.2">
      <c r="A2856" s="163">
        <v>42025</v>
      </c>
      <c r="B2856" s="162">
        <v>68.84</v>
      </c>
    </row>
    <row r="2857" spans="1:2" ht="18" x14ac:dyDescent="0.2">
      <c r="A2857" s="163">
        <v>42024</v>
      </c>
      <c r="B2857" s="162">
        <v>67.959999999999994</v>
      </c>
    </row>
    <row r="2858" spans="1:2" ht="18" x14ac:dyDescent="0.2">
      <c r="A2858" s="163">
        <v>42020</v>
      </c>
      <c r="B2858" s="162">
        <v>65.81</v>
      </c>
    </row>
    <row r="2859" spans="1:2" ht="18" x14ac:dyDescent="0.2">
      <c r="A2859" s="163">
        <v>42019</v>
      </c>
      <c r="B2859" s="162">
        <v>64.39</v>
      </c>
    </row>
    <row r="2860" spans="1:2" ht="18" x14ac:dyDescent="0.2">
      <c r="A2860" s="163">
        <v>42018</v>
      </c>
      <c r="B2860" s="162">
        <v>64.59</v>
      </c>
    </row>
    <row r="2861" spans="1:2" ht="18" x14ac:dyDescent="0.2">
      <c r="A2861" s="163">
        <v>42017</v>
      </c>
      <c r="B2861" s="162">
        <v>65.02</v>
      </c>
    </row>
    <row r="2862" spans="1:2" ht="18" x14ac:dyDescent="0.2">
      <c r="A2862" s="163">
        <v>42016</v>
      </c>
      <c r="B2862" s="162">
        <v>65.52</v>
      </c>
    </row>
    <row r="2863" spans="1:2" ht="18" x14ac:dyDescent="0.2">
      <c r="A2863" s="163">
        <v>42013</v>
      </c>
      <c r="B2863" s="162">
        <v>67.11</v>
      </c>
    </row>
    <row r="2864" spans="1:2" ht="18" x14ac:dyDescent="0.2">
      <c r="A2864" s="163">
        <v>42012</v>
      </c>
      <c r="B2864" s="162">
        <v>67.69</v>
      </c>
    </row>
    <row r="2865" spans="1:2" ht="18" x14ac:dyDescent="0.2">
      <c r="A2865" s="163">
        <v>42011</v>
      </c>
      <c r="B2865" s="162">
        <v>66.650000000000006</v>
      </c>
    </row>
    <row r="2866" spans="1:2" ht="18" x14ac:dyDescent="0.2">
      <c r="A2866" s="163">
        <v>42010</v>
      </c>
      <c r="B2866" s="162">
        <v>64.67</v>
      </c>
    </row>
    <row r="2867" spans="1:2" ht="18" x14ac:dyDescent="0.2">
      <c r="A2867" s="163">
        <v>42009</v>
      </c>
      <c r="B2867" s="162">
        <v>67.63</v>
      </c>
    </row>
    <row r="2868" spans="1:2" ht="18" x14ac:dyDescent="0.2">
      <c r="A2868" s="163">
        <v>42006</v>
      </c>
      <c r="B2868" s="162">
        <v>70.400000000000006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</vt:lpstr>
      <vt:lpstr>DCF</vt:lpstr>
      <vt:lpstr>Relative Valuation</vt:lpstr>
      <vt:lpstr>Valuation</vt:lpstr>
      <vt:lpstr>Scenario</vt:lpstr>
      <vt:lpstr>Model Summary</vt:lpstr>
      <vt:lpstr>Share Price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Ethan Liu</dc:creator>
  <cp:keywords/>
  <dc:description/>
  <cp:lastModifiedBy>Baran, Solomon R</cp:lastModifiedBy>
  <cp:revision/>
  <dcterms:created xsi:type="dcterms:W3CDTF">2025-03-05T19:20:01Z</dcterms:created>
  <dcterms:modified xsi:type="dcterms:W3CDTF">2026-06-21T16:31:09Z</dcterms:modified>
  <cp:category/>
  <cp:contentStatus/>
</cp:coreProperties>
</file>