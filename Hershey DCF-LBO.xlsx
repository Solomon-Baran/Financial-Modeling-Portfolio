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ol/Downloads/"/>
    </mc:Choice>
  </mc:AlternateContent>
  <xr:revisionPtr revIDLastSave="0" documentId="13_ncr:1_{4E0A607F-02D3-A441-A9EC-C0AC8B06016E}" xr6:coauthVersionLast="47" xr6:coauthVersionMax="47" xr10:uidLastSave="{00000000-0000-0000-0000-000000000000}"/>
  <bookViews>
    <workbookView xWindow="0" yWindow="0" windowWidth="28800" windowHeight="18000" tabRatio="500" activeTab="1" xr2:uid="{00000000-000D-0000-FFFF-FFFF00000000}"/>
  </bookViews>
  <sheets>
    <sheet name="Cover &amp; Instructions" sheetId="1" r:id="rId1"/>
    <sheet name="Assumptions" sheetId="2" r:id="rId2"/>
    <sheet name="Income Statement" sheetId="3" r:id="rId3"/>
    <sheet name="Balance Sheet" sheetId="4" r:id="rId4"/>
    <sheet name="Cash Flow Statement" sheetId="5" r:id="rId5"/>
    <sheet name="DCF Model" sheetId="6" r:id="rId6"/>
    <sheet name="LBO Model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2" l="1"/>
  <c r="C27" i="2"/>
  <c r="C25" i="2"/>
  <c r="C23" i="2"/>
  <c r="C22" i="2"/>
  <c r="D30" i="5"/>
  <c r="E30" i="5"/>
  <c r="F30" i="5"/>
  <c r="C30" i="5"/>
  <c r="D29" i="5"/>
  <c r="E29" i="5"/>
  <c r="F29" i="5"/>
  <c r="C29" i="5"/>
  <c r="D39" i="4"/>
  <c r="E39" i="4"/>
  <c r="C39" i="4"/>
  <c r="D38" i="4"/>
  <c r="E38" i="4"/>
  <c r="C38" i="4"/>
  <c r="D36" i="4"/>
  <c r="E36" i="4"/>
  <c r="C36" i="4"/>
  <c r="E29" i="3"/>
  <c r="F29" i="3"/>
  <c r="D29" i="3"/>
  <c r="D28" i="3"/>
  <c r="E28" i="3"/>
  <c r="F28" i="3"/>
  <c r="C28" i="3"/>
  <c r="D20" i="3"/>
  <c r="E20" i="3"/>
  <c r="F20" i="3"/>
  <c r="C20" i="3"/>
  <c r="D18" i="3"/>
  <c r="E18" i="3"/>
  <c r="F18" i="3"/>
  <c r="C18" i="3"/>
  <c r="D13" i="3"/>
  <c r="E13" i="3"/>
  <c r="F13" i="3"/>
  <c r="C13" i="3"/>
  <c r="D9" i="3"/>
  <c r="E9" i="3"/>
  <c r="F9" i="3"/>
  <c r="C9" i="3"/>
  <c r="C25" i="7"/>
  <c r="C53" i="6"/>
  <c r="C50" i="6"/>
  <c r="H16" i="6"/>
  <c r="G16" i="6"/>
  <c r="F16" i="6"/>
  <c r="E16" i="6"/>
  <c r="D16" i="6"/>
  <c r="C7" i="6"/>
  <c r="D7" i="6" s="1"/>
  <c r="F28" i="5"/>
  <c r="E28" i="5"/>
  <c r="D28" i="5"/>
  <c r="C28" i="5"/>
  <c r="F24" i="5"/>
  <c r="E24" i="5"/>
  <c r="D24" i="5"/>
  <c r="C24" i="5"/>
  <c r="E37" i="4"/>
  <c r="D37" i="4"/>
  <c r="C37" i="4"/>
  <c r="E22" i="4"/>
  <c r="E26" i="4" s="1"/>
  <c r="E30" i="4" s="1"/>
  <c r="D22" i="4"/>
  <c r="D26" i="4" s="1"/>
  <c r="D30" i="4" s="1"/>
  <c r="C22" i="4"/>
  <c r="C26" i="4" s="1"/>
  <c r="C30" i="4" s="1"/>
  <c r="E11" i="4"/>
  <c r="E16" i="4" s="1"/>
  <c r="E32" i="4" s="1"/>
  <c r="D11" i="4"/>
  <c r="D16" i="4" s="1"/>
  <c r="D32" i="4" s="1"/>
  <c r="C11" i="4"/>
  <c r="C16" i="4" s="1"/>
  <c r="C32" i="4" s="1"/>
  <c r="F26" i="3"/>
  <c r="E26" i="3"/>
  <c r="D26" i="3"/>
  <c r="C26" i="3"/>
  <c r="F8" i="3"/>
  <c r="F12" i="3" s="1"/>
  <c r="E8" i="3"/>
  <c r="E12" i="3" s="1"/>
  <c r="D8" i="3"/>
  <c r="D12" i="3" s="1"/>
  <c r="C8" i="3"/>
  <c r="C12" i="3" s="1"/>
  <c r="C14" i="2"/>
  <c r="C13" i="2"/>
  <c r="C15" i="2" s="1"/>
  <c r="C47" i="6" s="1"/>
  <c r="C9" i="2"/>
  <c r="C16" i="2" s="1"/>
  <c r="C28" i="2" l="1"/>
  <c r="F29" i="6"/>
  <c r="F31" i="6" s="1"/>
  <c r="D29" i="6"/>
  <c r="D31" i="6" s="1"/>
  <c r="E29" i="6"/>
  <c r="E31" i="6" s="1"/>
  <c r="H29" i="6"/>
  <c r="H31" i="6" s="1"/>
  <c r="G29" i="6"/>
  <c r="G31" i="6" s="1"/>
  <c r="E7" i="6"/>
  <c r="D12" i="6"/>
  <c r="D14" i="6"/>
  <c r="D21" i="6" s="1"/>
  <c r="D23" i="6"/>
  <c r="D25" i="6"/>
  <c r="F16" i="3"/>
  <c r="F19" i="3" s="1"/>
  <c r="F27" i="3"/>
  <c r="C7" i="7" s="1"/>
  <c r="E16" i="3"/>
  <c r="E19" i="3" s="1"/>
  <c r="E27" i="3"/>
  <c r="D16" i="3"/>
  <c r="D19" i="3" s="1"/>
  <c r="D27" i="3"/>
  <c r="C16" i="3"/>
  <c r="C19" i="3" s="1"/>
  <c r="C27" i="3"/>
  <c r="F7" i="6" l="1"/>
  <c r="E12" i="6"/>
  <c r="E14" i="6"/>
  <c r="E21" i="6" s="1"/>
  <c r="E25" i="6"/>
  <c r="E23" i="6"/>
  <c r="C33" i="7"/>
  <c r="D33" i="7" s="1"/>
  <c r="C9" i="7"/>
  <c r="C19" i="7"/>
  <c r="D15" i="6"/>
  <c r="G7" i="6" l="1"/>
  <c r="F12" i="6"/>
  <c r="F14" i="6"/>
  <c r="F21" i="6" s="1"/>
  <c r="F23" i="6"/>
  <c r="F25" i="6"/>
  <c r="E33" i="7"/>
  <c r="D36" i="7"/>
  <c r="D37" i="7"/>
  <c r="D39" i="7"/>
  <c r="C14" i="7"/>
  <c r="C11" i="7"/>
  <c r="C15" i="7" s="1"/>
  <c r="C45" i="7"/>
  <c r="D45" i="7"/>
  <c r="D46" i="7"/>
  <c r="D17" i="6"/>
  <c r="D18" i="6" s="1"/>
  <c r="D26" i="6" s="1"/>
  <c r="D32" i="6" s="1"/>
  <c r="E15" i="6"/>
  <c r="H7" i="6" l="1"/>
  <c r="G12" i="6"/>
  <c r="G14" i="6"/>
  <c r="G21" i="6" s="1"/>
  <c r="G23" i="6"/>
  <c r="G25" i="6"/>
  <c r="F33" i="7"/>
  <c r="E36" i="7"/>
  <c r="E37" i="7"/>
  <c r="E39" i="7"/>
  <c r="D38" i="7"/>
  <c r="D40" i="7" s="1"/>
  <c r="E17" i="6"/>
  <c r="E18" i="6" s="1"/>
  <c r="E26" i="6" s="1"/>
  <c r="E32" i="6" s="1"/>
  <c r="C16" i="7"/>
  <c r="C20" i="7" s="1"/>
  <c r="F15" i="6"/>
  <c r="H12" i="6" l="1"/>
  <c r="H14" i="6"/>
  <c r="H21" i="6" s="1"/>
  <c r="H23" i="6"/>
  <c r="H25" i="6"/>
  <c r="G33" i="7"/>
  <c r="F36" i="7"/>
  <c r="F37" i="7"/>
  <c r="F39" i="7"/>
  <c r="D41" i="7"/>
  <c r="D42" i="7" s="1"/>
  <c r="D47" i="7" s="1"/>
  <c r="D48" i="7" s="1"/>
  <c r="E45" i="7" s="1"/>
  <c r="C21" i="7"/>
  <c r="C58" i="7"/>
  <c r="F17" i="6"/>
  <c r="F18" i="6" s="1"/>
  <c r="F26" i="6" s="1"/>
  <c r="F32" i="6" s="1"/>
  <c r="G15" i="6"/>
  <c r="H15" i="6" l="1"/>
  <c r="H40" i="6"/>
  <c r="H41" i="6" s="1"/>
  <c r="H33" i="7"/>
  <c r="G36" i="7"/>
  <c r="G37" i="7"/>
  <c r="G39" i="7"/>
  <c r="E38" i="7"/>
  <c r="E40" i="7" s="1"/>
  <c r="E46" i="7"/>
  <c r="G17" i="6"/>
  <c r="G18" i="6" s="1"/>
  <c r="G26" i="6" s="1"/>
  <c r="G32" i="6" s="1"/>
  <c r="H17" i="6" l="1"/>
  <c r="H18" i="6" s="1"/>
  <c r="H26" i="6" s="1"/>
  <c r="H36" i="7"/>
  <c r="H37" i="7"/>
  <c r="H39" i="7"/>
  <c r="H52" i="7"/>
  <c r="H53" i="7" s="1"/>
  <c r="E41" i="7"/>
  <c r="E42" i="7" s="1"/>
  <c r="E47" i="7" s="1"/>
  <c r="E48" i="7" s="1"/>
  <c r="F45" i="7" s="1"/>
  <c r="H32" i="6" l="1"/>
  <c r="C44" i="6" s="1"/>
  <c r="H36" i="6"/>
  <c r="H37" i="6" s="1"/>
  <c r="F46" i="7"/>
  <c r="F38" i="7"/>
  <c r="F40" i="7" s="1"/>
  <c r="C45" i="6" l="1"/>
  <c r="C48" i="6" s="1"/>
  <c r="C51" i="6" s="1"/>
  <c r="C54" i="6" s="1"/>
  <c r="C46" i="6"/>
  <c r="C49" i="6" s="1"/>
  <c r="C52" i="6" s="1"/>
  <c r="C55" i="6" s="1"/>
  <c r="F41" i="7"/>
  <c r="F42" i="7" s="1"/>
  <c r="F47" i="7" s="1"/>
  <c r="F48" i="7" s="1"/>
  <c r="G45" i="7" s="1"/>
  <c r="G46" i="7" l="1"/>
  <c r="G38" i="7"/>
  <c r="G40" i="7" s="1"/>
  <c r="G41" i="7" s="1"/>
  <c r="G42" i="7" s="1"/>
  <c r="G47" i="7" l="1"/>
  <c r="G48" i="7" s="1"/>
  <c r="H45" i="7" s="1"/>
  <c r="H38" i="7" l="1"/>
  <c r="H40" i="7" s="1"/>
  <c r="H41" i="7" s="1"/>
  <c r="H42" i="7" s="1"/>
  <c r="H46" i="7"/>
  <c r="H47" i="7" l="1"/>
  <c r="H48" i="7" s="1"/>
  <c r="H54" i="7" s="1"/>
  <c r="H55" i="7" s="1"/>
  <c r="C59" i="7" s="1"/>
  <c r="C61" i="7" l="1"/>
  <c r="C6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tc={E7A2C514-E398-5047-A892-0681E2FCF7D0}</author>
  </authors>
  <commentList>
    <comment ref="C21" authorId="0" shapeId="0" xr:uid="{00000000-0006-0000-0100-000001000000}">
      <text>
        <r>
          <rPr>
            <sz val="10"/>
            <color rgb="FF000000"/>
            <rFont val="Arial"/>
            <family val="2"/>
          </rPr>
          <t>Your assumption. A common reference is Damodaran's implied U.S. ERP (pages.stern.nyu.edu/~adamodar).</t>
        </r>
      </text>
    </comment>
    <comment ref="C22" authorId="0" shapeId="0" xr:uid="{00000000-0006-0000-0100-000002000000}">
      <text>
        <r>
          <rPr>
            <sz val="10"/>
            <color rgb="FF000000"/>
            <rFont val="Arial"/>
            <family val="2"/>
          </rPr>
          <t>Calculate: Risk-Free Rate + Beta x Equity Risk Premium</t>
        </r>
      </text>
    </comment>
    <comment ref="C23" authorId="0" shapeId="0" xr:uid="{00000000-0006-0000-0100-000003000000}">
      <text>
        <r>
          <rPr>
            <sz val="10"/>
            <color rgb="FF000000"/>
            <rFont val="Arial"/>
            <family val="2"/>
          </rPr>
          <t>Estimate from Interest Expense / Total Debt (see Income Statement &amp; this tab), or a credit-spread build (Rf + spread for HSY's rating).</t>
        </r>
      </text>
    </comment>
    <comment ref="C24" authorId="0" shapeId="0" xr:uid="{00000000-0006-0000-0100-000004000000}">
      <text>
        <r>
          <rPr>
            <sz val="10"/>
            <color rgb="FF000000"/>
            <rFont val="Arial"/>
            <family val="2"/>
          </rPr>
          <t>Your assumption. See Income Statement tab for historical effective tax rates as a reference once you calculate them.</t>
        </r>
      </text>
    </comment>
    <comment ref="D24" authorId="1" shapeId="0" xr:uid="{E7A2C514-E398-5047-A892-0681E2FCF7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from income statement
</t>
      </text>
    </comment>
    <comment ref="C25" authorId="0" shapeId="0" xr:uid="{00000000-0006-0000-0100-000005000000}">
      <text>
        <r>
          <rPr>
            <sz val="10"/>
            <color rgb="FF000000"/>
            <rFont val="Arial"/>
            <family val="2"/>
          </rPr>
          <t>Calculate: Pre-Tax Cost of Debt x (1 - Tax Rate)</t>
        </r>
      </text>
    </comment>
    <comment ref="C26" authorId="0" shapeId="0" xr:uid="{00000000-0006-0000-0100-000006000000}">
      <text>
        <r>
          <rPr>
            <sz val="10"/>
            <color rgb="FF000000"/>
            <rFont val="Arial"/>
            <family val="2"/>
          </rPr>
          <t>Use market cap and total debt above (or your target capital structure).</t>
        </r>
      </text>
    </comment>
    <comment ref="C27" authorId="0" shapeId="0" xr:uid="{00000000-0006-0000-0100-000007000000}">
      <text>
        <r>
          <rPr>
            <sz val="10"/>
            <color rgb="FF000000"/>
            <rFont val="Arial"/>
            <family val="2"/>
          </rPr>
          <t>1 - Weight of Equity</t>
        </r>
      </text>
    </comment>
    <comment ref="C28" authorId="0" shapeId="0" xr:uid="{00000000-0006-0000-0100-000008000000}">
      <text>
        <r>
          <rPr>
            <sz val="10"/>
            <color rgb="FF000000"/>
            <rFont val="Arial"/>
            <family val="2"/>
          </rPr>
          <t>Calculate: (Weight of Equity x Cost of Equity) + (Weight of Debt x After-Tax Cost of Debt)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200-000002000000}">
      <text>
        <r>
          <rPr>
            <sz val="10"/>
            <color rgb="FF000000"/>
            <rFont val="Arial"/>
            <family val="2"/>
          </rPr>
          <t>Calculate: Gross Profit / Net Sales</t>
        </r>
      </text>
    </comment>
    <comment ref="D9" authorId="0" shapeId="0" xr:uid="{00000000-0006-0000-0200-000008000000}">
      <text>
        <r>
          <rPr>
            <sz val="10"/>
            <rFont val="Arial"/>
            <family val="2"/>
          </rPr>
          <t>Calculate: Gross Profit / Net Sales</t>
        </r>
      </text>
    </comment>
    <comment ref="E9" authorId="0" shapeId="0" xr:uid="{00000000-0006-0000-0200-00000E000000}">
      <text>
        <r>
          <rPr>
            <sz val="10"/>
            <rFont val="Arial"/>
            <family val="2"/>
          </rPr>
          <t>Calculate: Gross Profit / Net Sales</t>
        </r>
      </text>
    </comment>
    <comment ref="F9" authorId="0" shapeId="0" xr:uid="{00000000-0006-0000-0200-000014000000}">
      <text>
        <r>
          <rPr>
            <sz val="10"/>
            <color rgb="FF000000"/>
            <rFont val="Arial"/>
            <family val="2"/>
          </rPr>
          <t>Calculate: Gross Profit / Net Sales</t>
        </r>
      </text>
    </comment>
    <comment ref="B11" authorId="0" shapeId="0" xr:uid="{00000000-0006-0000-0200-000001000000}">
      <text>
        <r>
          <rPr>
            <sz val="10"/>
            <rFont val="Arial"/>
            <family val="2"/>
          </rPr>
          <t>Plug derived as Gross Profit - SG&amp;A - reported Operating Profit, to tie the statement to Hershey's reported operating profit line (which includes items like restructuring/realignment charges not separately itemized in the source used). See 10-K for the exact breakdown.</t>
        </r>
      </text>
    </comment>
    <comment ref="C13" authorId="0" shapeId="0" xr:uid="{00000000-0006-0000-0200-000003000000}">
      <text>
        <r>
          <rPr>
            <sz val="10"/>
            <color rgb="FF000000"/>
            <rFont val="Arial"/>
            <family val="2"/>
          </rPr>
          <t>Calculate: Operating Profit / Net Sales</t>
        </r>
      </text>
    </comment>
    <comment ref="D13" authorId="0" shapeId="0" xr:uid="{00000000-0006-0000-0200-000009000000}">
      <text>
        <r>
          <rPr>
            <sz val="10"/>
            <rFont val="Arial"/>
            <family val="2"/>
          </rPr>
          <t>Calculate: Operating Profit / Net Sales</t>
        </r>
      </text>
    </comment>
    <comment ref="E13" authorId="0" shapeId="0" xr:uid="{00000000-0006-0000-0200-00000F000000}">
      <text>
        <r>
          <rPr>
            <sz val="10"/>
            <color rgb="FF000000"/>
            <rFont val="Arial"/>
            <family val="2"/>
          </rPr>
          <t>Calculate: Operating Profit / Net Sales</t>
        </r>
      </text>
    </comment>
    <comment ref="F13" authorId="0" shapeId="0" xr:uid="{00000000-0006-0000-0200-000015000000}">
      <text>
        <r>
          <rPr>
            <sz val="10"/>
            <rFont val="Arial"/>
            <family val="2"/>
          </rPr>
          <t>Calculate: Operating Profit / Net Sales</t>
        </r>
      </text>
    </comment>
    <comment ref="C18" authorId="0" shapeId="0" xr:uid="{00000000-0006-0000-0200-000004000000}">
      <text>
        <r>
          <rPr>
            <sz val="10"/>
            <color rgb="FF000000"/>
            <rFont val="Arial"/>
            <family val="2"/>
          </rPr>
          <t>Calculate: Provision for Income Taxes / Income Before Income Taxes</t>
        </r>
      </text>
    </comment>
    <comment ref="D18" authorId="0" shapeId="0" xr:uid="{00000000-0006-0000-0200-00000A000000}">
      <text>
        <r>
          <rPr>
            <sz val="10"/>
            <rFont val="Arial"/>
            <family val="2"/>
          </rPr>
          <t>Calculate: Provision for Income Taxes / Income Before Income Taxes</t>
        </r>
      </text>
    </comment>
    <comment ref="E18" authorId="0" shapeId="0" xr:uid="{00000000-0006-0000-0200-000010000000}">
      <text>
        <r>
          <rPr>
            <sz val="10"/>
            <color rgb="FF000000"/>
            <rFont val="Arial"/>
            <family val="2"/>
          </rPr>
          <t>Calculate: Provision for Income Taxes / Income Before Income Taxes</t>
        </r>
      </text>
    </comment>
    <comment ref="F18" authorId="0" shapeId="0" xr:uid="{00000000-0006-0000-0200-000016000000}">
      <text>
        <r>
          <rPr>
            <sz val="10"/>
            <color rgb="FF000000"/>
            <rFont val="Arial"/>
            <family val="2"/>
          </rPr>
          <t>Calculate: Provision for Income Taxes / Income Before Income Taxes</t>
        </r>
      </text>
    </comment>
    <comment ref="C20" authorId="0" shapeId="0" xr:uid="{00000000-0006-0000-0200-000005000000}">
      <text>
        <r>
          <rPr>
            <sz val="10"/>
            <rFont val="Arial"/>
            <family val="2"/>
          </rPr>
          <t>Calculate: Net Income / Net Sales</t>
        </r>
      </text>
    </comment>
    <comment ref="D20" authorId="0" shapeId="0" xr:uid="{00000000-0006-0000-0200-00000B000000}">
      <text>
        <r>
          <rPr>
            <sz val="10"/>
            <rFont val="Arial"/>
            <family val="2"/>
          </rPr>
          <t>Calculate: Net Income / Net Sales</t>
        </r>
      </text>
    </comment>
    <comment ref="E20" authorId="0" shapeId="0" xr:uid="{00000000-0006-0000-0200-000011000000}">
      <text>
        <r>
          <rPr>
            <sz val="10"/>
            <rFont val="Arial"/>
            <family val="2"/>
          </rPr>
          <t>Calculate: Net Income / Net Sales</t>
        </r>
      </text>
    </comment>
    <comment ref="F20" authorId="0" shapeId="0" xr:uid="{00000000-0006-0000-0200-000017000000}">
      <text>
        <r>
          <rPr>
            <sz val="10"/>
            <color rgb="FF000000"/>
            <rFont val="Arial"/>
            <family val="2"/>
          </rPr>
          <t>Calculate: Net Income / Net Sales</t>
        </r>
      </text>
    </comment>
    <comment ref="C28" authorId="0" shapeId="0" xr:uid="{00000000-0006-0000-0200-000006000000}">
      <text>
        <r>
          <rPr>
            <sz val="10"/>
            <color rgb="FF000000"/>
            <rFont val="Arial"/>
            <family val="2"/>
          </rPr>
          <t>Calculate: EBITDA / Net Sales</t>
        </r>
      </text>
    </comment>
    <comment ref="D28" authorId="0" shapeId="0" xr:uid="{00000000-0006-0000-0200-00000C000000}">
      <text>
        <r>
          <rPr>
            <sz val="10"/>
            <color rgb="FF000000"/>
            <rFont val="Arial"/>
            <family val="2"/>
          </rPr>
          <t>Calculate: EBITDA / Net Sales</t>
        </r>
      </text>
    </comment>
    <comment ref="E28" authorId="0" shapeId="0" xr:uid="{00000000-0006-0000-0200-000012000000}">
      <text>
        <r>
          <rPr>
            <sz val="10"/>
            <rFont val="Arial"/>
            <family val="2"/>
          </rPr>
          <t>Calculate: EBITDA / Net Sales</t>
        </r>
      </text>
    </comment>
    <comment ref="F28" authorId="0" shapeId="0" xr:uid="{00000000-0006-0000-0200-000018000000}">
      <text>
        <r>
          <rPr>
            <sz val="10"/>
            <color rgb="FF000000"/>
            <rFont val="Arial"/>
            <family val="2"/>
          </rPr>
          <t>Calculate: EBITDA / Net Sales</t>
        </r>
      </text>
    </comment>
    <comment ref="C29" authorId="0" shapeId="0" xr:uid="{00000000-0006-0000-0200-000007000000}">
      <text>
        <r>
          <rPr>
            <sz val="10"/>
            <color rgb="FF000000"/>
            <rFont val="Arial"/>
            <family val="2"/>
          </rPr>
          <t>Calculate: (Current Year Net Sales / Prior Year Net Sales) - 1. Leave FY2022A blank (no prior year shown on this tab).</t>
        </r>
      </text>
    </comment>
    <comment ref="D29" authorId="0" shapeId="0" xr:uid="{00000000-0006-0000-0200-00000D000000}">
      <text>
        <r>
          <rPr>
            <sz val="10"/>
            <rFont val="Arial"/>
            <family val="2"/>
          </rPr>
          <t>Calculate: (Current Year Net Sales / Prior Year Net Sales) - 1. Leave FY2022A blank (no prior year shown on this tab).</t>
        </r>
      </text>
    </comment>
    <comment ref="E29" authorId="0" shapeId="0" xr:uid="{00000000-0006-0000-0200-000013000000}">
      <text>
        <r>
          <rPr>
            <sz val="10"/>
            <color rgb="FF000000"/>
            <rFont val="Arial"/>
            <family val="2"/>
          </rPr>
          <t>Calculate: (Current Year Net Sales / Prior Year Net Sales) - 1. Leave FY2022A blank (no prior year shown on this tab).</t>
        </r>
      </text>
    </comment>
    <comment ref="F29" authorId="0" shapeId="0" xr:uid="{00000000-0006-0000-0200-000019000000}">
      <text>
        <r>
          <rPr>
            <sz val="10"/>
            <color rgb="FF000000"/>
            <rFont val="Arial"/>
            <family val="2"/>
          </rPr>
          <t>Calculate: (Current Year Net Sales / Prior Year Net Sales) - 1. Leave FY2022A blank (no prior year shown on this tab).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5" authorId="0" shapeId="0" xr:uid="{00000000-0006-0000-0300-000001000000}">
      <text>
        <r>
          <rPr>
            <sz val="10"/>
            <color rgb="FF000000"/>
            <rFont val="Arial"/>
            <family val="2"/>
          </rPr>
          <t>Plug derived as reported Total Assets less all other asset lines above (equity investments, pension assets, and other non-current assets Hershey does not break out in the summary source used). See 10-K balance sheet for the exact breakdown.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400-000001000000}">
      <text>
        <r>
          <rPr>
            <sz val="10"/>
            <rFont val="Arial"/>
            <family val="2"/>
          </rPr>
          <t>Ties to Net Income on the Income Statement tab.</t>
        </r>
      </text>
    </comment>
    <comment ref="B10" authorId="0" shapeId="0" xr:uid="{00000000-0006-0000-0400-000002000000}">
      <text>
        <r>
          <rPr>
            <sz val="10"/>
            <rFont val="Arial"/>
            <family val="2"/>
          </rPr>
          <t>Includes receivables/inventory/payables movement plus smaller items (deferred taxes, pension, etc.) not separately broken out in the source used.</t>
        </r>
      </text>
    </comment>
    <comment ref="B16" authorId="0" shapeId="0" xr:uid="{00000000-0006-0000-0400-000003000000}">
      <text>
        <r>
          <rPr>
            <sz val="10"/>
            <rFont val="Arial"/>
            <family val="2"/>
          </rPr>
          <t>Includes smaller items (capitalized software, equity investments, etc.) not separately itemized here; capex and acquisitions are the primary drivers.</t>
        </r>
      </text>
    </comment>
    <comment ref="B22" authorId="0" shapeId="0" xr:uid="{00000000-0006-0000-0400-000004000000}">
      <text>
        <r>
          <rPr>
            <sz val="10"/>
            <rFont val="Arial"/>
            <family val="2"/>
          </rPr>
          <t>Includes smaller items (stock option proceeds, debt issuance costs, etc.) not separately itemized here.</t>
        </r>
      </text>
    </comment>
    <comment ref="C29" authorId="0" shapeId="0" xr:uid="{00000000-0006-0000-0400-000005000000}">
      <text>
        <r>
          <rPr>
            <sz val="10"/>
            <color rgb="FF000000"/>
            <rFont val="Arial"/>
            <family val="2"/>
          </rPr>
          <t>Calculate: Free Cash Flow / Net Sales (Income Statement tab)</t>
        </r>
      </text>
    </comment>
    <comment ref="D29" authorId="0" shapeId="0" xr:uid="{00000000-0006-0000-0400-000007000000}">
      <text>
        <r>
          <rPr>
            <sz val="10"/>
            <color rgb="FF000000"/>
            <rFont val="Arial"/>
            <family val="2"/>
          </rPr>
          <t>Calculate: Free Cash Flow / Net Sales (Income Statement tab)</t>
        </r>
      </text>
    </comment>
    <comment ref="E29" authorId="0" shapeId="0" xr:uid="{00000000-0006-0000-0400-000009000000}">
      <text>
        <r>
          <rPr>
            <sz val="10"/>
            <rFont val="Arial"/>
            <family val="2"/>
          </rPr>
          <t>Calculate: Free Cash Flow / Net Sales (Income Statement tab)</t>
        </r>
      </text>
    </comment>
    <comment ref="F29" authorId="0" shapeId="0" xr:uid="{00000000-0006-0000-0400-00000B000000}">
      <text>
        <r>
          <rPr>
            <sz val="10"/>
            <rFont val="Arial"/>
            <family val="2"/>
          </rPr>
          <t>Calculate: Free Cash Flow / Net Sales (Income Statement tab)</t>
        </r>
      </text>
    </comment>
    <comment ref="C30" authorId="0" shapeId="0" xr:uid="{00000000-0006-0000-0400-000006000000}">
      <text>
        <r>
          <rPr>
            <sz val="10"/>
            <color rgb="FF000000"/>
            <rFont val="Arial"/>
            <family val="2"/>
          </rPr>
          <t>Calculate: Free Cash Flow / EBITDA (Income Statement tab)</t>
        </r>
      </text>
    </comment>
    <comment ref="D30" authorId="0" shapeId="0" xr:uid="{00000000-0006-0000-0400-000008000000}">
      <text>
        <r>
          <rPr>
            <sz val="10"/>
            <rFont val="Arial"/>
            <family val="2"/>
          </rPr>
          <t>Calculate: Free Cash Flow / EBITDA (Income Statement tab)</t>
        </r>
      </text>
    </comment>
    <comment ref="E30" authorId="0" shapeId="0" xr:uid="{00000000-0006-0000-0400-00000A000000}">
      <text>
        <r>
          <rPr>
            <sz val="10"/>
            <rFont val="Arial"/>
            <family val="2"/>
          </rPr>
          <t>Calculate: Free Cash Flow / EBITDA (Income Statement tab)</t>
        </r>
      </text>
    </comment>
    <comment ref="F30" authorId="0" shapeId="0" xr:uid="{00000000-0006-0000-0400-00000C000000}">
      <text>
        <r>
          <rPr>
            <sz val="10"/>
            <color rgb="FF000000"/>
            <rFont val="Arial"/>
            <family val="2"/>
          </rPr>
          <t>Calculate: Free Cash Flow / EBITDA (Income Statement tab)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tc={34A61A27-5F11-0444-A229-1606B82E50FE}</author>
    <author>tc={83536B75-76B1-A24C-BF75-60CEF703F2CC}</author>
    <author>tc={0046FAD6-331C-734A-A179-02EF1A3F90B4}</author>
    <author>tc={B8F4CBEC-D8E3-1A4F-A44E-CDC512D8AE6D}</author>
    <author>tc={EDBA1CE1-71F8-2643-8CF8-E17B5AB2C2D4}</author>
    <author>Unknown Author</author>
    <author>tc={025212B0-B34B-9D43-B0FF-C1B9F6AA770C}</author>
  </authors>
  <commentList>
    <comment ref="I8" authorId="0" shapeId="0" xr:uid="{34A61A27-5F11-0444-A229-1606B82E50F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Assuming based off conservative growth compared to competitors</t>
      </text>
    </comment>
    <comment ref="I11" authorId="1" shapeId="0" xr:uid="{83536B75-76B1-A24C-BF75-60CEF703F2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Assumption of previous years average
</t>
      </text>
    </comment>
    <comment ref="I13" authorId="2" shapeId="0" xr:uid="{0046FAD6-331C-734A-A179-02EF1A3F90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Assumption based on average of previous years</t>
      </text>
    </comment>
    <comment ref="I22" authorId="3" shapeId="0" xr:uid="{B8F4CBEC-D8E3-1A4F-A44E-CDC512D8AE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Assumption Average of previous years
</t>
      </text>
    </comment>
    <comment ref="I24" authorId="4" shapeId="0" xr:uid="{EDBA1CE1-71F8-2643-8CF8-E17B5AB2C2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Assumption Average of previous years
</t>
      </text>
    </comment>
    <comment ref="E35" authorId="5" shapeId="0" xr:uid="{00000000-0006-0000-0500-000005000000}">
      <text>
        <r>
          <rPr>
            <sz val="10"/>
            <color rgb="FF000000"/>
            <rFont val="Arial"/>
            <family val="2"/>
          </rPr>
          <t>Your long-run perpetuity growth assumption (typically close to long-run GDP/inflation).</t>
        </r>
      </text>
    </comment>
    <comment ref="E39" authorId="5" shapeId="0" xr:uid="{00000000-0006-0000-0500-000006000000}">
      <text>
        <r>
          <rPr>
            <sz val="10"/>
            <color rgb="FF000000"/>
            <rFont val="Arial"/>
            <family val="2"/>
          </rPr>
          <t>Alternative terminal value method: apply a multiple to the final projected year's EBITDA.</t>
        </r>
      </text>
    </comment>
    <comment ref="I39" authorId="6" shapeId="0" xr:uid="{025212B0-B34B-9D43-B0FF-C1B9F6AA77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Base Case Average 5 years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tc={A0A92BBB-1C77-1649-B9D4-5E0DE7F20F10}</author>
    <author>tc={9FF3C24B-97B3-1B42-9356-040288047E6C}</author>
  </authors>
  <commentList>
    <comment ref="C8" authorId="0" shapeId="0" xr:uid="{00000000-0006-0000-0600-000001000000}">
      <text>
        <r>
          <rPr>
            <sz val="10"/>
            <color rgb="FF000000"/>
            <rFont val="Arial"/>
            <family val="2"/>
          </rPr>
          <t>Your assumption for the purchase price multiple.</t>
        </r>
      </text>
    </comment>
    <comment ref="C10" authorId="0" shapeId="0" xr:uid="{00000000-0006-0000-0600-000002000000}">
      <text>
        <r>
          <rPr>
            <sz val="10"/>
            <color rgb="FF000000"/>
            <rFont val="Arial"/>
            <family val="2"/>
          </rPr>
          <t>Financing + advisory fees, typically 1-3% of transaction value.</t>
        </r>
      </text>
    </comment>
    <comment ref="D10" authorId="1" shapeId="0" xr:uid="{A0A92BBB-1C77-1649-B9D4-5E0DE7F20F10}">
      <text>
        <t>[Threaded comment]
Your version of Excel allows you to read this threaded comment; however, any edits to it will get removed if the file is opened in a newer version of Excel. Learn more: https://go.microsoft.com/fwlink/?linkid=870924
Comment:
    Mega Cap Assumption Rate</t>
      </text>
    </comment>
    <comment ref="C18" authorId="0" shapeId="0" xr:uid="{00000000-0006-0000-0600-000003000000}">
      <text>
        <r>
          <rPr>
            <sz val="10"/>
            <color rgb="FF000000"/>
            <rFont val="Arial"/>
            <family val="2"/>
          </rPr>
          <t>Your assumption for opening leverage (Debt/EBITDA) at close.</t>
        </r>
      </text>
    </comment>
    <comment ref="C24" authorId="0" shapeId="0" xr:uid="{00000000-0006-0000-0600-000004000000}">
      <text>
        <r>
          <rPr>
            <sz val="10"/>
            <color rgb="FF000000"/>
            <rFont val="Arial"/>
            <family val="2"/>
          </rPr>
          <t>Your assumption for the blended cash interest rate on outstanding debt.</t>
        </r>
      </text>
    </comment>
    <comment ref="D24" authorId="2" shapeId="0" xr:uid="{9FF3C24B-97B3-1B42-9356-040288047E6C}">
      <text>
        <t>[Threaded comment]
Your version of Excel allows you to read this threaded comment; however, any edits to it will get removed if the file is opened in a newer version of Excel. Learn more: https://go.microsoft.com/fwlink/?linkid=870924
Comment:
    5% base with 5% credit swings and .25% fees</t>
      </text>
    </comment>
    <comment ref="C28" authorId="0" shapeId="0" xr:uid="{00000000-0006-0000-0600-000005000000}">
      <text>
        <r>
          <rPr>
            <sz val="10"/>
            <color rgb="FF000000"/>
            <rFont val="Arial"/>
            <family val="2"/>
          </rPr>
          <t>Typical term loan amortizers are 1-5% per year.</t>
        </r>
      </text>
    </comment>
    <comment ref="C29" authorId="0" shapeId="0" xr:uid="{00000000-0006-0000-0600-000006000000}">
      <text>
        <r>
          <rPr>
            <sz val="10"/>
            <color rgb="FF000000"/>
            <rFont val="Arial"/>
            <family val="2"/>
          </rPr>
          <t>0% = no sweep beyond mandatory amortization; 100% = all excess FCF sweeps debt.</t>
        </r>
      </text>
    </comment>
    <comment ref="D32" authorId="0" shapeId="0" xr:uid="{00000000-0006-0000-0600-000007000000}">
      <text>
        <r>
          <rPr>
            <sz val="10"/>
            <color rgb="FF000000"/>
            <rFont val="Arial"/>
            <family val="2"/>
          </rPr>
          <t>Your EBITDA growth assumption for this year.</t>
        </r>
      </text>
    </comment>
    <comment ref="E32" authorId="0" shapeId="0" xr:uid="{00000000-0006-0000-0600-000008000000}">
      <text>
        <r>
          <rPr>
            <sz val="10"/>
            <rFont val="Arial"/>
            <family val="2"/>
          </rPr>
          <t>Your EBITDA growth assumption for this year.</t>
        </r>
      </text>
    </comment>
    <comment ref="F32" authorId="0" shapeId="0" xr:uid="{00000000-0006-0000-0600-000009000000}">
      <text>
        <r>
          <rPr>
            <sz val="10"/>
            <rFont val="Arial"/>
            <family val="2"/>
          </rPr>
          <t>Your EBITDA growth assumption for this year.</t>
        </r>
      </text>
    </comment>
    <comment ref="G32" authorId="0" shapeId="0" xr:uid="{00000000-0006-0000-0600-00000A000000}">
      <text>
        <r>
          <rPr>
            <sz val="10"/>
            <rFont val="Arial"/>
            <family val="2"/>
          </rPr>
          <t>Your EBITDA growth assumption for this year.</t>
        </r>
      </text>
    </comment>
    <comment ref="H32" authorId="0" shapeId="0" xr:uid="{00000000-0006-0000-0600-00000B000000}">
      <text>
        <r>
          <rPr>
            <sz val="10"/>
            <rFont val="Arial"/>
            <family val="2"/>
          </rPr>
          <t>Your EBITDA growth assumption for this year.</t>
        </r>
      </text>
    </comment>
    <comment ref="H51" authorId="0" shapeId="0" xr:uid="{00000000-0006-0000-0600-00000C000000}">
      <text>
        <r>
          <rPr>
            <sz val="10"/>
            <color rgb="FF000000"/>
            <rFont val="Arial"/>
            <family val="2"/>
          </rPr>
          <t>Your assumption for the exit valuation multiple.</t>
        </r>
      </text>
    </comment>
  </commentList>
</comments>
</file>

<file path=xl/sharedStrings.xml><?xml version="1.0" encoding="utf-8"?>
<sst xmlns="http://schemas.openxmlformats.org/spreadsheetml/2006/main" count="288" uniqueCount="265">
  <si>
    <t>The Hershey Company (NYSE: HSY)</t>
  </si>
  <si>
    <t>Financial Model Workbook — DCF, LBO &amp; Historical Analysis Template</t>
  </si>
  <si>
    <t>Company</t>
  </si>
  <si>
    <t>The Hershey Company</t>
  </si>
  <si>
    <t>Ticker / Exchange</t>
  </si>
  <si>
    <t>HSY / NYSE</t>
  </si>
  <si>
    <t>Sector / Industry</t>
  </si>
  <si>
    <t>Consumer Staples — Packaged Foods &amp; Confectionery</t>
  </si>
  <si>
    <t>Fiscal Year End</t>
  </si>
  <si>
    <t>December 31 (52/53-week fiscal year)</t>
  </si>
  <si>
    <t>Market data as of</t>
  </si>
  <si>
    <t>September 18, 2026</t>
  </si>
  <si>
    <t>Company selected</t>
  </si>
  <si>
    <t>Randomly selected large-cap public company, per your request</t>
  </si>
  <si>
    <t>What's in this workbook</t>
  </si>
  <si>
    <t>Assumptions &amp; Market Data</t>
  </si>
  <si>
    <t>Current price, shares, market cap, net debt, and the raw cost-of-capital inputs (risk-free rate, beta) a WACC build needs.</t>
  </si>
  <si>
    <t>Income Statement</t>
  </si>
  <si>
    <t>FY2022–FY2025 actual net sales, COGS, SG&amp;A, interest, taxes and net income, sourced from Hershey's 10-K / earnings releases.</t>
  </si>
  <si>
    <t>Balance Sheet</t>
  </si>
  <si>
    <t>FY2023–FY2025 actual assets, liabilities and equity.</t>
  </si>
  <si>
    <t>Cash Flow Statement</t>
  </si>
  <si>
    <t>FY2022–FY2025 actual operating, investing and financing cash flows, incl. D&amp;A and capex — the key DCF build blocks.</t>
  </si>
  <si>
    <t>DCF Model</t>
  </si>
  <si>
    <t>5-year unlevered FCF build and a Gordon Growth / Exit Multiple terminal value bridge to implied share price. Formulas are pre-built; growth, margin, WACC and terminal-value assumptions are blank for you to enter.</t>
  </si>
  <si>
    <t>LBO Model</t>
  </si>
  <si>
    <t>Sources &amp; uses, a 5-year debt paydown schedule, and a returns (MOIC / IRR) build. Formulas are pre-built; entry/exit multiples, leverage, pricing and operating assumptions are blank for you to enter.</t>
  </si>
  <si>
    <t>How to use this workbook</t>
  </si>
  <si>
    <t>Blue text</t>
  </si>
  <si>
    <t>Hardcoded historical actuals or market data, pulled from a cited source. Do not need to be changed.</t>
  </si>
  <si>
    <t>Black text</t>
  </si>
  <si>
    <t>Live formulas (subtotals, statement math, and the DCF/LBO calculation engine). These recalculate automatically as you fill in the yellow cells.</t>
  </si>
  <si>
    <t>Green text</t>
  </si>
  <si>
    <t>A formula that links to another tab (e.g., DCF pulling FY2025 revenue from the Income Statement tab).</t>
  </si>
  <si>
    <t>Yellow fill</t>
  </si>
  <si>
    <t>Blank on purpose — this is where YOU enter an assumption or calculate a margin/ratio. Cell comments (small red triangle) give a hint on what belongs there.</t>
  </si>
  <si>
    <t>What's intentionally left blank</t>
  </si>
  <si>
    <t>•</t>
  </si>
  <si>
    <t>All margin &amp; ratio analysis on the historical statements: gross margin, operating margin, EBITDA margin, net margin, effective tax rate, YoY growth rates, FCF margin/conversion, current ratio, and leverage ratios (Debt/EBITDA, Net Debt/EBITDA, Debt/Equity).</t>
  </si>
  <si>
    <t>All DCF assumptions: revenue growth, EBITDA margin, D&amp;A %, capex %, change-in-NWC %, cost of equity/debt, WACC, terminal growth rate, and exit multiple.</t>
  </si>
  <si>
    <t>All LBO assumptions: entry &amp; exit EV/EBITDA multiples, leverage (Debt/EBITDA), interest rate, mandatory amortization %, cash sweep %, EBITDA growth, capex %, and exit year.</t>
  </si>
  <si>
    <t>Sources</t>
  </si>
  <si>
    <t>Hershey FY2025 &amp; FY2024 results: PR Newswire, "Hershey Reports Fourth-Quarter and Full-Year 2025 Financial Results" (Feb 2026), prnewswire.com</t>
  </si>
  <si>
    <t>Hershey FY2023 &amp; FY2022 results: PR Newswire, "Hershey Reports Fourth-Quarter and Full-Year 2023 Financial Results" (Feb 2024), prnewswire.com</t>
  </si>
  <si>
    <t>Balance sheet &amp; cash flow detail (FY2022–FY2025): stockanalysis.com/stocks/HSY/financials/</t>
  </si>
  <si>
    <t>Market price, shares outstanding, beta: stockanalysis.com/stocks/hsy/ (as of 9/18/2026 close)</t>
  </si>
  <si>
    <t>10-Year U.S. Treasury yield: tradingeconomics.com/united-states/government-bond-yield (9/18/2026)</t>
  </si>
  <si>
    <t>Full audited statements: Hershey Company Form 10-K, SEC EDGAR (sec.gov/cgi-bin/browse-edgar?action=getcompany&amp;CIK=0000047111)</t>
  </si>
  <si>
    <t>Note</t>
  </si>
  <si>
    <t>Figures are aggregated from secondary sources (press releases and financial data aggregators), not retyped directly from the 10-K line by line, so a few totals may be off from the audited statements by a small rounding amount (well under 1%). Verify against the 10-K/EDGAR filing before using in anything client-facing.</t>
  </si>
  <si>
    <t>$ in millions except per-share data, multiples, and percentages</t>
  </si>
  <si>
    <t>Market Data (as of 9/18/2026 close)</t>
  </si>
  <si>
    <t>Current Share Price</t>
  </si>
  <si>
    <t>Source: stockanalysis.com/stocks/hsy/, 9/18/2026 close</t>
  </si>
  <si>
    <t>Basic Shares Outstanding (current)</t>
  </si>
  <si>
    <t>Source: stockanalysis.com/stocks/hsy/</t>
  </si>
  <si>
    <t>Diluted Weighted-Avg Shares (FY2025A)</t>
  </si>
  <si>
    <t>Source: Hershey FY2025 earnings release (PR Newswire, Feb 2026)</t>
  </si>
  <si>
    <t>Market Capitalization</t>
  </si>
  <si>
    <t>Dividend per Share (LTM)</t>
  </si>
  <si>
    <t>Net Debt (Enterprise Value Bridge)</t>
  </si>
  <si>
    <t>Total Debt (FY2025A: ST + LT debt)</t>
  </si>
  <si>
    <t>Less: Cash &amp; Equivalents (FY2025A)</t>
  </si>
  <si>
    <t>Net Debt</t>
  </si>
  <si>
    <t>Enterprise Value (current, implied)</t>
  </si>
  <si>
    <t>Cost of Capital Inputs</t>
  </si>
  <si>
    <t>Risk-Free Rate (10-Yr U.S. Treasury)</t>
  </si>
  <si>
    <t>Source: tradingeconomics.com, 10-yr UST yield, 9/18/2026</t>
  </si>
  <si>
    <t>Beta (5Y vs. S&amp;P 500)</t>
  </si>
  <si>
    <t>Source: stockanalysis.com. NOTE: this reads low for the sector (peers ~0.3-0.6) - cross-check vs. Bloomberg/CapIQ or a peer average before relying on it.</t>
  </si>
  <si>
    <t>Equity Risk Premium (ERP)</t>
  </si>
  <si>
    <t>Cost of Equity (CAPM = Rf + β × ERP)</t>
  </si>
  <si>
    <t>Pre-Tax Cost of Debt</t>
  </si>
  <si>
    <t>Marginal / Statutory Tax Rate (for WACC &amp; projections)</t>
  </si>
  <si>
    <t>After-Tax Cost of Debt</t>
  </si>
  <si>
    <t>Weight of Equity (E / (D+E))</t>
  </si>
  <si>
    <t>Weight of Debt (D / (D+E))</t>
  </si>
  <si>
    <t>WACC</t>
  </si>
  <si>
    <t>Income Statement — Historical Actuals</t>
  </si>
  <si>
    <t>$ in millions except per-share data. FY = fiscal year ended December 31.</t>
  </si>
  <si>
    <t>FY2022A</t>
  </si>
  <si>
    <t>FY2023A</t>
  </si>
  <si>
    <t>FY2024A</t>
  </si>
  <si>
    <t>FY2025A</t>
  </si>
  <si>
    <t>Net Sales</t>
  </si>
  <si>
    <t>Cost of Sales</t>
  </si>
  <si>
    <t>Gross Profit</t>
  </si>
  <si>
    <t xml:space="preserve">  Gross Margin %</t>
  </si>
  <si>
    <t>Selling, General &amp; Administrative Expense</t>
  </si>
  <si>
    <t>Business Realignment &amp; Other Operating Costs, Net</t>
  </si>
  <si>
    <t>Operating Profit (EBIT)</t>
  </si>
  <si>
    <t xml:space="preserve">  Operating Margin %</t>
  </si>
  <si>
    <t>Interest Expense, Net</t>
  </si>
  <si>
    <t>Other (Income) Expense, Net</t>
  </si>
  <si>
    <t>Income Before Income Taxes</t>
  </si>
  <si>
    <t>Provision for Income Taxes</t>
  </si>
  <si>
    <t xml:space="preserve">  Effective Tax Rate %</t>
  </si>
  <si>
    <t>Net Income</t>
  </si>
  <si>
    <t xml:space="preserve">  Net Margin %</t>
  </si>
  <si>
    <t>Diluted Earnings Per Share</t>
  </si>
  <si>
    <t>Diluted Weighted-Average Shares Outstanding</t>
  </si>
  <si>
    <t>Supplemental — EBITDA &amp; Growth</t>
  </si>
  <si>
    <t>Depreciation &amp; Amortization</t>
  </si>
  <si>
    <t>EBITDA (EBIT + D&amp;A)</t>
  </si>
  <si>
    <t xml:space="preserve">  EBITDA Margin %</t>
  </si>
  <si>
    <t xml:space="preserve">  Net Sales YoY Growth % (n/a for FY2022A, first year shown)</t>
  </si>
  <si>
    <t>Balance Sheet — Historical Actuals</t>
  </si>
  <si>
    <t>$ in millions. As of fiscal year-end (December 31).</t>
  </si>
  <si>
    <t>Assets</t>
  </si>
  <si>
    <t>Cash &amp; Cash Equivalents</t>
  </si>
  <si>
    <t>Accounts Receivable, Net</t>
  </si>
  <si>
    <t>Inventory</t>
  </si>
  <si>
    <t>Other Current Assets</t>
  </si>
  <si>
    <t>Total Current Assets</t>
  </si>
  <si>
    <t>Property, Plant &amp; Equipment, Net</t>
  </si>
  <si>
    <t>Goodwill</t>
  </si>
  <si>
    <t>Other Intangible Assets, Net</t>
  </si>
  <si>
    <t>Other Long-Term Assets</t>
  </si>
  <si>
    <t>Total Assets</t>
  </si>
  <si>
    <t>Liabilities</t>
  </si>
  <si>
    <t>Accounts Payable</t>
  </si>
  <si>
    <t>Short-Term Debt (current portion)</t>
  </si>
  <si>
    <t>Other Current Liabilities</t>
  </si>
  <si>
    <t>Total Current Liabilities</t>
  </si>
  <si>
    <t>Long-Term Debt</t>
  </si>
  <si>
    <t>Deferred Tax Liabilities</t>
  </si>
  <si>
    <t>Other Long-Term Liabilities</t>
  </si>
  <si>
    <t>Total Liabilities</t>
  </si>
  <si>
    <t>Stockholders' Equity</t>
  </si>
  <si>
    <t>Total Stockholders' Equity</t>
  </si>
  <si>
    <t>Total Liabilities &amp; Stockholders' Equity</t>
  </si>
  <si>
    <t>Balance Check (Total Assets − Total Liab. &amp; Equity)</t>
  </si>
  <si>
    <t>Should be ~0. Small residual reflects rounding in the secondary source, not a broken formula.</t>
  </si>
  <si>
    <t>Credit &amp; Liquidity Ratios (calculate using figures above and EBITDA from the Income Statement tab)</t>
  </si>
  <si>
    <t xml:space="preserve">  Current Ratio (Current Assets / Current Liabilities)</t>
  </si>
  <si>
    <t xml:space="preserve">  Total Debt (Short-Term + Long-Term)</t>
  </si>
  <si>
    <t xml:space="preserve">  Net Debt / EBITDA</t>
  </si>
  <si>
    <t xml:space="preserve">  Total Debt / Total Equity</t>
  </si>
  <si>
    <t>Cash Flow Statement — Historical Actuals</t>
  </si>
  <si>
    <t>$ in millions. FY = fiscal year ended December 31.</t>
  </si>
  <si>
    <t>Operating Activities</t>
  </si>
  <si>
    <t>Stock-Based Compensation</t>
  </si>
  <si>
    <t>Change in Net Working Capital &amp; Other Operating Items</t>
  </si>
  <si>
    <t>Cash Flow from Operating Activities (as reported)</t>
  </si>
  <si>
    <t>Investing Activities</t>
  </si>
  <si>
    <t>Capital Expenditures</t>
  </si>
  <si>
    <t>Acquisitions, Net of Cash Acquired</t>
  </si>
  <si>
    <t>Cash Flow from Investing Activities (as reported)</t>
  </si>
  <si>
    <t>Financing Activities</t>
  </si>
  <si>
    <t>Dividends Paid</t>
  </si>
  <si>
    <t>Share Repurchases</t>
  </si>
  <si>
    <t>Net Debt Issued / (Repaid)</t>
  </si>
  <si>
    <t>Cash Flow from Financing Activities (as reported)</t>
  </si>
  <si>
    <t>Net Change in Cash (calculated)</t>
  </si>
  <si>
    <t>As reported (for reference): FY22 +$135mm · FY23 −$62mm · FY24 +$329mm · FY25 +$195mm. Small variance vs. the calculated line above reflects FX and rounding in the secondary source.</t>
  </si>
  <si>
    <t>Free Cash Flow (Unlevered Proxy) &amp; Ratios</t>
  </si>
  <si>
    <t>Free Cash Flow (Cash from Ops − Capex)</t>
  </si>
  <si>
    <t xml:space="preserve">  FCF Margin % (FCF / Net Sales — see Income Statement tab)</t>
  </si>
  <si>
    <t xml:space="preserve">  FCF Conversion % (FCF / EBITDA — see Income Statement tab)</t>
  </si>
  <si>
    <t>DCF Model — Unlevered Free Cash Flow Valuation</t>
  </si>
  <si>
    <t>$ in millions except per-share data. Yellow cells are your assumptions; everything else recalculates automatically.</t>
  </si>
  <si>
    <t>FY2026E</t>
  </si>
  <si>
    <t>FY2027E</t>
  </si>
  <si>
    <t>FY2028E</t>
  </si>
  <si>
    <t>FY2029E</t>
  </si>
  <si>
    <t>FY2030E</t>
  </si>
  <si>
    <t>Revenue Build</t>
  </si>
  <si>
    <t xml:space="preserve">  Net Sales Growth % (your assumption)</t>
  </si>
  <si>
    <t>Margin &amp; Tax Assumptions</t>
  </si>
  <si>
    <t>EBITDA Margin % (your assumption)</t>
  </si>
  <si>
    <t>EBITDA</t>
  </si>
  <si>
    <t>D&amp;A % of Net Sales (your assumption)</t>
  </si>
  <si>
    <t>Less: Depreciation &amp; Amortization</t>
  </si>
  <si>
    <t>EBIT</t>
  </si>
  <si>
    <t>Tax Rate (linked from Assumptions tab)</t>
  </si>
  <si>
    <t>Less: Taxes on EBIT</t>
  </si>
  <si>
    <t>NOPAT (Tax-Effected EBIT)</t>
  </si>
  <si>
    <t>Unlevered Free Cash Flow Build</t>
  </si>
  <si>
    <t>Plus: Depreciation &amp; Amortization</t>
  </si>
  <si>
    <t>Capex % of Net Sales (your assumption)</t>
  </si>
  <si>
    <t>Less: Capital Expenditures</t>
  </si>
  <si>
    <t>Increase in Net Working Capital, % of Net Sales (your assumption)</t>
  </si>
  <si>
    <t>Less: Increase in Net Working Capital</t>
  </si>
  <si>
    <t>Unlevered Free Cash Flow</t>
  </si>
  <si>
    <t>Discounting</t>
  </si>
  <si>
    <t>WACC (linked from Assumptions tab)</t>
  </si>
  <si>
    <t>Discount Period (years)</t>
  </si>
  <si>
    <t>Discount Factor</t>
  </si>
  <si>
    <t>PV of Unlevered Free Cash Flow</t>
  </si>
  <si>
    <t>Terminal Value</t>
  </si>
  <si>
    <t>Terminal Growth Rate (your assumption)</t>
  </si>
  <si>
    <t>Terminal Value — Gordon Growth (last year FCF)</t>
  </si>
  <si>
    <t>PV of Terminal Value — Gordon Growth</t>
  </si>
  <si>
    <t>Exit EV/EBITDA Multiple (your assumption)</t>
  </si>
  <si>
    <t>Terminal Value — Exit Multiple (last year EBITDA x multiple)</t>
  </si>
  <si>
    <t>PV of Terminal Value — Exit Multiple</t>
  </si>
  <si>
    <t>Valuation Summary</t>
  </si>
  <si>
    <t>Sum of PV of Explicit-Period Unlevered FCF</t>
  </si>
  <si>
    <t>Enterprise Value — Gordon Growth Method</t>
  </si>
  <si>
    <t>Enterprise Value — Exit Multiple Method</t>
  </si>
  <si>
    <t>Less: Net Debt (linked from Assumptions tab)</t>
  </si>
  <si>
    <t>Equity Value — Gordon Growth Method</t>
  </si>
  <si>
    <t>Equity Value — Exit Multiple Method</t>
  </si>
  <si>
    <t>Diluted Shares Outstanding (linked from Assumptions tab)</t>
  </si>
  <si>
    <t>Implied Share Price — Gordon Growth Method</t>
  </si>
  <si>
    <t>Implied Share Price — Exit Multiple Method</t>
  </si>
  <si>
    <t>Current Share Price (linked from Assumptions tab)</t>
  </si>
  <si>
    <t>Implied Upside / (Downside) — Gordon Growth</t>
  </si>
  <si>
    <t>Implied Upside / (Downside) — Exit Multiple</t>
  </si>
  <si>
    <t>LBO Model — Leveraged Buyout Analysis</t>
  </si>
  <si>
    <t>$ in millions except per-share and multiple data. Yellow cells are your assumptions; everything else recalculates automatically. 5-year hold assumed.</t>
  </si>
  <si>
    <t>Year 0 (Entry)</t>
  </si>
  <si>
    <t>Year 1</t>
  </si>
  <si>
    <t>Year 2</t>
  </si>
  <si>
    <t>Year 3</t>
  </si>
  <si>
    <t>Year 4</t>
  </si>
  <si>
    <t>Year 5 (Exit)</t>
  </si>
  <si>
    <t>Entry / Transaction Assumptions</t>
  </si>
  <si>
    <t>LTM EBITDA at Entry (FY2025A, linked from Income Statement tab)</t>
  </si>
  <si>
    <t>Entry EV / EBITDA Multiple (your assumption)</t>
  </si>
  <si>
    <t>Purchase Enterprise Value</t>
  </si>
  <si>
    <t>Transaction Fees, % of Enterprise Value (your assumption)</t>
  </si>
  <si>
    <t>Transaction Fees, $</t>
  </si>
  <si>
    <t>Sources &amp; Uses</t>
  </si>
  <si>
    <t>Uses: Purchase of Enterprise Value</t>
  </si>
  <si>
    <t>Uses: Transaction Fees</t>
  </si>
  <si>
    <t>Total Uses</t>
  </si>
  <si>
    <t>Leverage — New Debt / LTM EBITDA (your assumption)</t>
  </si>
  <si>
    <t>Sources: New Debt (Term Loan)</t>
  </si>
  <si>
    <t>Sources: Sponsor Equity Contribution (plug)</t>
  </si>
  <si>
    <t>Total Sources (check — should equal Total Uses)</t>
  </si>
  <si>
    <t>Operating &amp; Debt Assumptions (applied to each projection year)</t>
  </si>
  <si>
    <t>Interest Rate on Debt (your assumption)</t>
  </si>
  <si>
    <t>Cash Tax Rate (linked from Assumptions tab)</t>
  </si>
  <si>
    <t>Capex, % of EBITDA (your assumption)</t>
  </si>
  <si>
    <t>Increase in NWC, % of EBITDA (your assumption)</t>
  </si>
  <si>
    <t>Mandatory Debt Amortization, % of Original Principal per Year (your assumption)</t>
  </si>
  <si>
    <t>Cash Flow Sweep, % of Excess Cash Flow to Debt Paydown (your assumption)</t>
  </si>
  <si>
    <t>EBITDA Build</t>
  </si>
  <si>
    <t>EBITDA Growth % (your assumption, per year)</t>
  </si>
  <si>
    <t>Free Cash Flow Available for Debt Paydown</t>
  </si>
  <si>
    <t>Less: Capex</t>
  </si>
  <si>
    <t>Less: Cash Interest Expense (on beginning debt balance)</t>
  </si>
  <si>
    <t>Less: Increase in NWC</t>
  </si>
  <si>
    <t>Pre-Tax Cash Flow</t>
  </si>
  <si>
    <t>Less: Cash Taxes</t>
  </si>
  <si>
    <t>Cash Flow Available for Debt Service</t>
  </si>
  <si>
    <t>Debt Schedule</t>
  </si>
  <si>
    <t>Beginning Debt Balance</t>
  </si>
  <si>
    <t>Mandatory Amortization</t>
  </si>
  <si>
    <t>Cash Flow Sweep (excess CFADS after mandatory amort., capped at remaining balance)</t>
  </si>
  <si>
    <t>Ending Debt Balance</t>
  </si>
  <si>
    <t>Exit &amp; Returns (Year 5)</t>
  </si>
  <si>
    <t>Exit EV / EBITDA Multiple (your assumption)</t>
  </si>
  <si>
    <t>Exit-Year EBITDA (Year 5, linked above)</t>
  </si>
  <si>
    <t>Exit Enterprise Value</t>
  </si>
  <si>
    <t>Less: Exit Net Debt (Year 5 ending debt balance; assumes no cash build)</t>
  </si>
  <si>
    <t>Exit Equity Value</t>
  </si>
  <si>
    <t>Sponsor Returns</t>
  </si>
  <si>
    <t>Sponsor Equity Contribution (Year 0, linked above)</t>
  </si>
  <si>
    <t>Exit Equity Value (Year 5, linked above)</t>
  </si>
  <si>
    <t>Holding Period (years)</t>
  </si>
  <si>
    <t>Multiple of Money (MOIC)</t>
  </si>
  <si>
    <t>IRR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</si>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</sst>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.00;&quot;($&quot;#,##0.00\);\-"/>
    <numFmt numFmtId="165" formatCode="#,##0.0;\(#,##0.0\);\-"/>
    <numFmt numFmtId="166" formatCode="\$#,##0;&quot;($&quot;#,##0\);\-"/>
    <numFmt numFmtId="167" formatCode="0.0%;\(0.0%\);\-"/>
    <numFmt numFmtId="168" formatCode="\$#,##0.0;&quot;($&quot;#,##0.0\);\-"/>
    <numFmt numFmtId="169" formatCode="0.00\x"/>
    <numFmt numFmtId="170" formatCode="0.000"/>
    <numFmt numFmtId="171" formatCode="0.00%;\(0.00%\);\-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color rgb="FF1F1F1F"/>
      <name val="Arial"/>
      <family val="2"/>
    </font>
    <font>
      <i/>
      <sz val="10"/>
      <color rgb="FF595959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</fills>
  <borders count="3">
    <border>
      <left/>
      <right/>
      <top/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47">
    <xf numFmtId="0" fontId="0" fillId="0" borderId="0" xfId="0"/>
    <xf numFmtId="0" fontId="5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0" fillId="2" borderId="0" xfId="0" applyFill="1"/>
    <xf numFmtId="0" fontId="5" fillId="0" borderId="0" xfId="0" applyFont="1" applyAlignment="1">
      <alignment horizontal="left" vertical="top" wrapText="1"/>
    </xf>
    <xf numFmtId="164" fontId="6" fillId="0" borderId="0" xfId="0" applyNumberFormat="1" applyFont="1"/>
    <xf numFmtId="165" fontId="6" fillId="0" borderId="0" xfId="0" applyNumberFormat="1" applyFont="1"/>
    <xf numFmtId="166" fontId="4" fillId="0" borderId="1" xfId="0" applyNumberFormat="1" applyFont="1" applyBorder="1"/>
    <xf numFmtId="166" fontId="7" fillId="0" borderId="0" xfId="0" applyNumberFormat="1" applyFont="1"/>
    <xf numFmtId="166" fontId="4" fillId="0" borderId="0" xfId="0" applyNumberFormat="1" applyFont="1"/>
    <xf numFmtId="167" fontId="6" fillId="0" borderId="0" xfId="0" applyNumberFormat="1" applyFont="1"/>
    <xf numFmtId="2" fontId="6" fillId="0" borderId="0" xfId="0" applyNumberFormat="1" applyFont="1"/>
    <xf numFmtId="167" fontId="5" fillId="3" borderId="0" xfId="0" applyNumberFormat="1" applyFont="1" applyFill="1"/>
    <xf numFmtId="167" fontId="5" fillId="3" borderId="1" xfId="0" applyNumberFormat="1" applyFont="1" applyFill="1" applyBorder="1"/>
    <xf numFmtId="0" fontId="5" fillId="4" borderId="0" xfId="0" applyFont="1" applyFill="1"/>
    <xf numFmtId="0" fontId="8" fillId="4" borderId="0" xfId="0" applyFont="1" applyFill="1" applyAlignment="1">
      <alignment horizontal="center" vertical="center"/>
    </xf>
    <xf numFmtId="166" fontId="6" fillId="0" borderId="0" xfId="0" applyNumberFormat="1" applyFont="1"/>
    <xf numFmtId="166" fontId="4" fillId="0" borderId="2" xfId="0" applyNumberFormat="1" applyFont="1" applyBorder="1"/>
    <xf numFmtId="166" fontId="5" fillId="0" borderId="0" xfId="0" applyNumberFormat="1" applyFont="1"/>
    <xf numFmtId="166" fontId="9" fillId="0" borderId="0" xfId="0" applyNumberFormat="1" applyFont="1"/>
    <xf numFmtId="168" fontId="5" fillId="0" borderId="0" xfId="0" applyNumberFormat="1" applyFont="1"/>
    <xf numFmtId="2" fontId="5" fillId="3" borderId="0" xfId="0" applyNumberFormat="1" applyFont="1" applyFill="1"/>
    <xf numFmtId="169" fontId="5" fillId="3" borderId="0" xfId="0" applyNumberFormat="1" applyFont="1" applyFill="1"/>
    <xf numFmtId="166" fontId="9" fillId="0" borderId="1" xfId="0" applyNumberFormat="1" applyFont="1" applyBorder="1"/>
    <xf numFmtId="167" fontId="7" fillId="0" borderId="0" xfId="0" applyNumberFormat="1" applyFont="1"/>
    <xf numFmtId="1" fontId="5" fillId="0" borderId="0" xfId="0" applyNumberFormat="1" applyFont="1"/>
    <xf numFmtId="170" fontId="5" fillId="0" borderId="0" xfId="0" applyNumberFormat="1" applyFont="1"/>
    <xf numFmtId="165" fontId="7" fillId="0" borderId="0" xfId="0" applyNumberFormat="1" applyFont="1"/>
    <xf numFmtId="164" fontId="4" fillId="0" borderId="1" xfId="0" applyNumberFormat="1" applyFont="1" applyBorder="1"/>
    <xf numFmtId="164" fontId="4" fillId="0" borderId="0" xfId="0" applyNumberFormat="1" applyFont="1"/>
    <xf numFmtId="164" fontId="7" fillId="0" borderId="0" xfId="0" applyNumberFormat="1" applyFont="1"/>
    <xf numFmtId="167" fontId="4" fillId="0" borderId="1" xfId="0" applyNumberFormat="1" applyFont="1" applyBorder="1"/>
    <xf numFmtId="167" fontId="4" fillId="0" borderId="0" xfId="0" applyNumberFormat="1" applyFont="1"/>
    <xf numFmtId="171" fontId="5" fillId="3" borderId="0" xfId="0" applyNumberFormat="1" applyFont="1" applyFill="1"/>
    <xf numFmtId="166" fontId="5" fillId="0" borderId="1" xfId="0" applyNumberFormat="1" applyFont="1" applyBorder="1"/>
    <xf numFmtId="169" fontId="4" fillId="0" borderId="1" xfId="0" applyNumberFormat="1" applyFont="1" applyBorder="1"/>
    <xf numFmtId="0" fontId="5" fillId="0" borderId="0" xfId="0" applyFont="1" applyAlignment="1">
      <alignment horizontal="left" vertical="top"/>
    </xf>
    <xf numFmtId="167" fontId="0" fillId="0" borderId="0" xfId="0" applyNumberFormat="1"/>
    <xf numFmtId="9" fontId="1" fillId="0" borderId="0" xfId="1"/>
    <xf numFmtId="10" fontId="0" fillId="0" borderId="0" xfId="0" applyNumberFormat="1"/>
    <xf numFmtId="10" fontId="1" fillId="0" borderId="0" xfId="1" applyNumberFormat="1"/>
    <xf numFmtId="166" fontId="0" fillId="0" borderId="0" xfId="0" applyNumberFormat="1"/>
    <xf numFmtId="9" fontId="1" fillId="0" borderId="0" xfId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ran, Solomon Robert" id="{4387A116-ADE4-C040-9C02-5541A53D000C}" userId="S::srb382@miami.edu::017d70ff-0fca-4577-8d2c-a5c00feba64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4" dT="2026-09-20T21:47:04.97" personId="{4387A116-ADE4-C040-9C02-5541A53D000C}" id="{E7A2C514-E398-5047-A892-0681E2FCF7D0}">
    <text xml:space="preserve">Average from income statement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8" dT="2026-09-20T19:25:29.69" personId="{4387A116-ADE4-C040-9C02-5541A53D000C}" id="{34A61A27-5F11-0444-A229-1606B82E50FE}">
    <text>Assuming based off conservative growth compared to competitors</text>
  </threadedComment>
  <threadedComment ref="I11" dT="2026-09-20T19:27:27.25" personId="{4387A116-ADE4-C040-9C02-5541A53D000C}" id="{83536B75-76B1-A24C-BF75-60CEF703F2CC}">
    <text xml:space="preserve">Assumption of previous years average
</text>
  </threadedComment>
  <threadedComment ref="I13" dT="2026-09-20T19:30:05.75" personId="{4387A116-ADE4-C040-9C02-5541A53D000C}" id="{0046FAD6-331C-734A-A179-02EF1A3F90B4}">
    <text>Assumption based on average of previous years</text>
  </threadedComment>
  <threadedComment ref="I22" dT="2026-09-20T19:33:42.33" personId="{4387A116-ADE4-C040-9C02-5541A53D000C}" id="{B8F4CBEC-D8E3-1A4F-A44E-CDC512D8AE6D}">
    <text xml:space="preserve">Assumption Average of previous years
</text>
  </threadedComment>
  <threadedComment ref="I24" dT="2026-09-20T19:40:38.27" personId="{4387A116-ADE4-C040-9C02-5541A53D000C}" id="{EDBA1CE1-71F8-2643-8CF8-E17B5AB2C2D4}">
    <text xml:space="preserve">Assumption Average of previous years
</text>
  </threadedComment>
  <threadedComment ref="I39" dT="2026-09-20T20:45:47.76" personId="{4387A116-ADE4-C040-9C02-5541A53D000C}" id="{025212B0-B34B-9D43-B0FF-C1B9F6AA770C}">
    <text xml:space="preserve">Base Case Average 5 years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0" dT="2026-09-20T21:08:13.65" personId="{4387A116-ADE4-C040-9C02-5541A53D000C}" id="{A0A92BBB-1C77-1649-B9D4-5E0DE7F20F10}">
    <text>Mega Cap Assumption Rate</text>
  </threadedComment>
  <threadedComment ref="D24" dT="2026-09-20T22:07:36.27" personId="{4387A116-ADE4-C040-9C02-5541A53D000C}" id="{9FF3C24B-97B3-1B42-9356-040288047E6C}">
    <text>5% base with 5% credit swings and .25% fees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2"/>
  <sheetViews>
    <sheetView showGridLines="0" zoomScaleNormal="100" workbookViewId="0">
      <pane ySplit="1" topLeftCell="A2" activePane="bottomLeft" state="frozen"/>
      <selection pane="bottomLeft" activeCell="H5" sqref="H5"/>
    </sheetView>
  </sheetViews>
  <sheetFormatPr baseColWidth="10" defaultColWidth="8.6640625" defaultRowHeight="15" x14ac:dyDescent="0.2"/>
  <cols>
    <col min="1" max="1" width="3" customWidth="1"/>
    <col min="2" max="2" width="34" customWidth="1"/>
    <col min="3" max="3" width="60" customWidth="1"/>
    <col min="4" max="4" width="3" customWidth="1"/>
  </cols>
  <sheetData>
    <row r="2" spans="2:3" ht="20" x14ac:dyDescent="0.2">
      <c r="B2" s="2" t="s">
        <v>0</v>
      </c>
    </row>
    <row r="3" spans="2:3" x14ac:dyDescent="0.2">
      <c r="B3" s="3" t="s">
        <v>1</v>
      </c>
    </row>
    <row r="5" spans="2:3" x14ac:dyDescent="0.2">
      <c r="B5" s="4" t="s">
        <v>2</v>
      </c>
      <c r="C5" s="5" t="s">
        <v>3</v>
      </c>
    </row>
    <row r="6" spans="2:3" x14ac:dyDescent="0.2">
      <c r="B6" s="4" t="s">
        <v>4</v>
      </c>
      <c r="C6" s="5" t="s">
        <v>5</v>
      </c>
    </row>
    <row r="7" spans="2:3" x14ac:dyDescent="0.2">
      <c r="B7" s="4" t="s">
        <v>6</v>
      </c>
      <c r="C7" s="5" t="s">
        <v>7</v>
      </c>
    </row>
    <row r="8" spans="2:3" x14ac:dyDescent="0.2">
      <c r="B8" s="4" t="s">
        <v>8</v>
      </c>
      <c r="C8" s="5" t="s">
        <v>9</v>
      </c>
    </row>
    <row r="9" spans="2:3" x14ac:dyDescent="0.2">
      <c r="B9" s="4" t="s">
        <v>10</v>
      </c>
      <c r="C9" s="5" t="s">
        <v>11</v>
      </c>
    </row>
    <row r="10" spans="2:3" x14ac:dyDescent="0.2">
      <c r="B10" s="4" t="s">
        <v>12</v>
      </c>
      <c r="C10" s="5" t="s">
        <v>13</v>
      </c>
    </row>
    <row r="12" spans="2:3" x14ac:dyDescent="0.2">
      <c r="B12" s="6" t="s">
        <v>14</v>
      </c>
      <c r="C12" s="7"/>
    </row>
    <row r="13" spans="2:3" ht="30" customHeight="1" x14ac:dyDescent="0.2">
      <c r="B13" s="4" t="s">
        <v>15</v>
      </c>
      <c r="C13" s="8" t="s">
        <v>16</v>
      </c>
    </row>
    <row r="14" spans="2:3" ht="30" customHeight="1" x14ac:dyDescent="0.2">
      <c r="B14" s="4" t="s">
        <v>17</v>
      </c>
      <c r="C14" s="8" t="s">
        <v>18</v>
      </c>
    </row>
    <row r="15" spans="2:3" ht="30" customHeight="1" x14ac:dyDescent="0.2">
      <c r="B15" s="4" t="s">
        <v>19</v>
      </c>
      <c r="C15" s="8" t="s">
        <v>20</v>
      </c>
    </row>
    <row r="16" spans="2:3" ht="30" customHeight="1" x14ac:dyDescent="0.2">
      <c r="B16" s="4" t="s">
        <v>21</v>
      </c>
      <c r="C16" s="8" t="s">
        <v>22</v>
      </c>
    </row>
    <row r="17" spans="2:3" ht="30" customHeight="1" x14ac:dyDescent="0.2">
      <c r="B17" s="4" t="s">
        <v>23</v>
      </c>
      <c r="C17" s="8" t="s">
        <v>24</v>
      </c>
    </row>
    <row r="18" spans="2:3" ht="30" customHeight="1" x14ac:dyDescent="0.2">
      <c r="B18" s="4" t="s">
        <v>25</v>
      </c>
      <c r="C18" s="8" t="s">
        <v>26</v>
      </c>
    </row>
    <row r="20" spans="2:3" x14ac:dyDescent="0.2">
      <c r="B20" s="6" t="s">
        <v>27</v>
      </c>
      <c r="C20" s="7"/>
    </row>
    <row r="21" spans="2:3" ht="27.75" customHeight="1" x14ac:dyDescent="0.2">
      <c r="B21" s="4" t="s">
        <v>28</v>
      </c>
      <c r="C21" s="8" t="s">
        <v>29</v>
      </c>
    </row>
    <row r="22" spans="2:3" ht="27.75" customHeight="1" x14ac:dyDescent="0.2">
      <c r="B22" s="4" t="s">
        <v>30</v>
      </c>
      <c r="C22" s="8" t="s">
        <v>31</v>
      </c>
    </row>
    <row r="23" spans="2:3" ht="27.75" customHeight="1" x14ac:dyDescent="0.2">
      <c r="B23" s="4" t="s">
        <v>32</v>
      </c>
      <c r="C23" s="8" t="s">
        <v>33</v>
      </c>
    </row>
    <row r="24" spans="2:3" ht="27.75" customHeight="1" x14ac:dyDescent="0.2">
      <c r="B24" s="4" t="s">
        <v>34</v>
      </c>
      <c r="C24" s="8" t="s">
        <v>35</v>
      </c>
    </row>
    <row r="26" spans="2:3" x14ac:dyDescent="0.2">
      <c r="B26" s="6" t="s">
        <v>36</v>
      </c>
      <c r="C26" s="7"/>
    </row>
    <row r="27" spans="2:3" ht="27.75" customHeight="1" x14ac:dyDescent="0.2">
      <c r="B27" s="5" t="s">
        <v>37</v>
      </c>
      <c r="C27" s="8" t="s">
        <v>38</v>
      </c>
    </row>
    <row r="29" spans="2:3" ht="27.75" customHeight="1" x14ac:dyDescent="0.2">
      <c r="B29" s="5" t="s">
        <v>37</v>
      </c>
      <c r="C29" s="8" t="s">
        <v>39</v>
      </c>
    </row>
    <row r="31" spans="2:3" ht="27.75" customHeight="1" x14ac:dyDescent="0.2">
      <c r="B31" s="5" t="s">
        <v>37</v>
      </c>
      <c r="C31" s="8" t="s">
        <v>40</v>
      </c>
    </row>
    <row r="34" spans="2:3" x14ac:dyDescent="0.2">
      <c r="B34" s="6" t="s">
        <v>41</v>
      </c>
      <c r="C34" s="7"/>
    </row>
    <row r="35" spans="2:3" ht="42" x14ac:dyDescent="0.2">
      <c r="B35" s="5" t="s">
        <v>37</v>
      </c>
      <c r="C35" s="8" t="s">
        <v>42</v>
      </c>
    </row>
    <row r="36" spans="2:3" ht="42" x14ac:dyDescent="0.2">
      <c r="B36" s="5" t="s">
        <v>37</v>
      </c>
      <c r="C36" s="8" t="s">
        <v>43</v>
      </c>
    </row>
    <row r="37" spans="2:3" ht="28" x14ac:dyDescent="0.2">
      <c r="B37" s="5" t="s">
        <v>37</v>
      </c>
      <c r="C37" s="8" t="s">
        <v>44</v>
      </c>
    </row>
    <row r="38" spans="2:3" ht="28" x14ac:dyDescent="0.2">
      <c r="B38" s="5" t="s">
        <v>37</v>
      </c>
      <c r="C38" s="8" t="s">
        <v>45</v>
      </c>
    </row>
    <row r="39" spans="2:3" ht="28" x14ac:dyDescent="0.2">
      <c r="B39" s="5" t="s">
        <v>37</v>
      </c>
      <c r="C39" s="8" t="s">
        <v>46</v>
      </c>
    </row>
    <row r="40" spans="2:3" ht="28" x14ac:dyDescent="0.2">
      <c r="B40" s="5" t="s">
        <v>37</v>
      </c>
      <c r="C40" s="8" t="s">
        <v>47</v>
      </c>
    </row>
    <row r="42" spans="2:3" ht="45" customHeight="1" x14ac:dyDescent="0.2">
      <c r="B42" s="4" t="s">
        <v>48</v>
      </c>
      <c r="C42" s="8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8"/>
  <sheetViews>
    <sheetView showGridLines="0" tabSelected="1" zoomScaleNormal="100" workbookViewId="0">
      <pane ySplit="3" topLeftCell="A4" activePane="bottomLeft" state="frozen"/>
      <selection pane="bottomLeft" activeCell="K9" sqref="K9"/>
    </sheetView>
  </sheetViews>
  <sheetFormatPr baseColWidth="10" defaultColWidth="8.6640625" defaultRowHeight="15" x14ac:dyDescent="0.2"/>
  <cols>
    <col min="1" max="1" width="2" customWidth="1"/>
    <col min="2" max="2" width="42" customWidth="1"/>
    <col min="3" max="3" width="16" customWidth="1"/>
    <col min="4" max="4" width="3" customWidth="1"/>
    <col min="5" max="5" width="55" customWidth="1"/>
  </cols>
  <sheetData>
    <row r="2" spans="2:5" ht="20" x14ac:dyDescent="0.2">
      <c r="B2" s="2" t="s">
        <v>15</v>
      </c>
    </row>
    <row r="3" spans="2:5" x14ac:dyDescent="0.2">
      <c r="B3" s="3" t="s">
        <v>50</v>
      </c>
    </row>
    <row r="5" spans="2:5" x14ac:dyDescent="0.2">
      <c r="B5" s="6" t="s">
        <v>51</v>
      </c>
      <c r="C5" s="6"/>
    </row>
    <row r="6" spans="2:5" x14ac:dyDescent="0.2">
      <c r="B6" s="5" t="s">
        <v>52</v>
      </c>
      <c r="C6" s="9">
        <v>169.79</v>
      </c>
      <c r="E6" s="5" t="s">
        <v>53</v>
      </c>
    </row>
    <row r="7" spans="2:5" x14ac:dyDescent="0.2">
      <c r="B7" s="5" t="s">
        <v>54</v>
      </c>
      <c r="C7" s="10">
        <v>200.93</v>
      </c>
      <c r="E7" s="5" t="s">
        <v>55</v>
      </c>
    </row>
    <row r="8" spans="2:5" x14ac:dyDescent="0.2">
      <c r="B8" s="5" t="s">
        <v>56</v>
      </c>
      <c r="C8" s="10">
        <v>203.4</v>
      </c>
      <c r="E8" s="5" t="s">
        <v>57</v>
      </c>
    </row>
    <row r="9" spans="2:5" x14ac:dyDescent="0.2">
      <c r="B9" s="4" t="s">
        <v>58</v>
      </c>
      <c r="C9" s="11">
        <f>C6*C7</f>
        <v>34115.904699999999</v>
      </c>
    </row>
    <row r="10" spans="2:5" x14ac:dyDescent="0.2">
      <c r="B10" s="5" t="s">
        <v>59</v>
      </c>
      <c r="C10" s="9">
        <v>5.81</v>
      </c>
      <c r="E10" s="5" t="s">
        <v>55</v>
      </c>
    </row>
    <row r="12" spans="2:5" x14ac:dyDescent="0.2">
      <c r="B12" s="6" t="s">
        <v>60</v>
      </c>
      <c r="C12" s="6"/>
    </row>
    <row r="13" spans="2:5" x14ac:dyDescent="0.2">
      <c r="B13" s="5" t="s">
        <v>61</v>
      </c>
      <c r="C13" s="12">
        <f>'Balance Sheet'!E20+'Balance Sheet'!E23</f>
        <v>4830.55</v>
      </c>
    </row>
    <row r="14" spans="2:5" x14ac:dyDescent="0.2">
      <c r="B14" s="5" t="s">
        <v>62</v>
      </c>
      <c r="C14" s="12">
        <f>'Balance Sheet'!E7</f>
        <v>925.86</v>
      </c>
    </row>
    <row r="15" spans="2:5" x14ac:dyDescent="0.2">
      <c r="B15" s="4" t="s">
        <v>63</v>
      </c>
      <c r="C15" s="11">
        <f>C13-C14</f>
        <v>3904.69</v>
      </c>
    </row>
    <row r="16" spans="2:5" x14ac:dyDescent="0.2">
      <c r="B16" s="4" t="s">
        <v>64</v>
      </c>
      <c r="C16" s="13">
        <f>C9+C15</f>
        <v>38020.594700000001</v>
      </c>
    </row>
    <row r="18" spans="2:5" x14ac:dyDescent="0.2">
      <c r="B18" s="6" t="s">
        <v>65</v>
      </c>
      <c r="C18" s="6"/>
    </row>
    <row r="19" spans="2:5" x14ac:dyDescent="0.2">
      <c r="B19" s="5" t="s">
        <v>66</v>
      </c>
      <c r="C19" s="14">
        <v>0.05</v>
      </c>
      <c r="E19" s="5" t="s">
        <v>67</v>
      </c>
    </row>
    <row r="20" spans="2:5" ht="27.75" customHeight="1" x14ac:dyDescent="0.2">
      <c r="B20" s="5" t="s">
        <v>68</v>
      </c>
      <c r="C20" s="15">
        <v>0.45</v>
      </c>
      <c r="E20" s="8" t="s">
        <v>69</v>
      </c>
    </row>
    <row r="21" spans="2:5" x14ac:dyDescent="0.2">
      <c r="B21" s="5" t="s">
        <v>70</v>
      </c>
      <c r="C21" s="16">
        <v>4.2500000000000003E-2</v>
      </c>
    </row>
    <row r="22" spans="2:5" x14ac:dyDescent="0.2">
      <c r="B22" s="4" t="s">
        <v>71</v>
      </c>
      <c r="C22" s="16">
        <f>C19+(C21*C20)</f>
        <v>6.9125000000000006E-2</v>
      </c>
    </row>
    <row r="23" spans="2:5" x14ac:dyDescent="0.2">
      <c r="B23" s="5" t="s">
        <v>72</v>
      </c>
      <c r="C23" s="16">
        <f>'Income Statement'!F14/'Balance Sheet'!E37</f>
        <v>3.9374398360435145E-2</v>
      </c>
    </row>
    <row r="24" spans="2:5" x14ac:dyDescent="0.2">
      <c r="B24" s="5" t="s">
        <v>73</v>
      </c>
      <c r="C24" s="16">
        <v>0.16500000000000001</v>
      </c>
    </row>
    <row r="25" spans="2:5" x14ac:dyDescent="0.2">
      <c r="B25" s="5" t="s">
        <v>74</v>
      </c>
      <c r="C25" s="16">
        <f>C23*(1-C24)</f>
        <v>3.2877622630963346E-2</v>
      </c>
    </row>
    <row r="26" spans="2:5" x14ac:dyDescent="0.2">
      <c r="B26" s="5" t="s">
        <v>75</v>
      </c>
      <c r="C26" s="16">
        <f>(C9)/(C9+C13)</f>
        <v>0.87596945505799784</v>
      </c>
    </row>
    <row r="27" spans="2:5" x14ac:dyDescent="0.2">
      <c r="B27" s="5" t="s">
        <v>76</v>
      </c>
      <c r="C27" s="16">
        <f>C13/(C9+C13)</f>
        <v>0.12403054494200212</v>
      </c>
      <c r="E27" s="45"/>
    </row>
    <row r="28" spans="2:5" x14ac:dyDescent="0.2">
      <c r="B28" s="4" t="s">
        <v>77</v>
      </c>
      <c r="C28" s="17">
        <f>(C27*C25)+(C26*C22)</f>
        <v>6.4629218032199981E-2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27" sqref="H27:J29"/>
    </sheetView>
  </sheetViews>
  <sheetFormatPr baseColWidth="10" defaultColWidth="8.6640625" defaultRowHeight="15" x14ac:dyDescent="0.2"/>
  <cols>
    <col min="1" max="1" width="2" customWidth="1"/>
    <col min="2" max="2" width="42" customWidth="1"/>
    <col min="3" max="6" width="13" customWidth="1"/>
    <col min="7" max="7" width="3" customWidth="1"/>
  </cols>
  <sheetData>
    <row r="2" spans="2:6" ht="20" x14ac:dyDescent="0.2">
      <c r="B2" s="2" t="s">
        <v>78</v>
      </c>
    </row>
    <row r="3" spans="2:6" x14ac:dyDescent="0.2">
      <c r="B3" s="3" t="s">
        <v>79</v>
      </c>
    </row>
    <row r="5" spans="2:6" ht="18" customHeight="1" x14ac:dyDescent="0.2">
      <c r="B5" s="18"/>
      <c r="C5" s="19" t="s">
        <v>80</v>
      </c>
      <c r="D5" s="19" t="s">
        <v>81</v>
      </c>
      <c r="E5" s="19" t="s">
        <v>82</v>
      </c>
      <c r="F5" s="19" t="s">
        <v>83</v>
      </c>
    </row>
    <row r="6" spans="2:6" x14ac:dyDescent="0.2">
      <c r="B6" s="5" t="s">
        <v>84</v>
      </c>
      <c r="C6" s="20">
        <v>10419.294</v>
      </c>
      <c r="D6" s="20">
        <v>11164.992</v>
      </c>
      <c r="E6" s="20">
        <v>11202.3</v>
      </c>
      <c r="F6" s="20">
        <v>11692.6</v>
      </c>
    </row>
    <row r="7" spans="2:6" x14ac:dyDescent="0.2">
      <c r="B7" s="5" t="s">
        <v>85</v>
      </c>
      <c r="C7" s="20">
        <v>5920.509</v>
      </c>
      <c r="D7" s="20">
        <v>6167.1760000000004</v>
      </c>
      <c r="E7" s="20">
        <v>5901.4</v>
      </c>
      <c r="F7" s="20">
        <v>7769.9</v>
      </c>
    </row>
    <row r="8" spans="2:6" x14ac:dyDescent="0.2">
      <c r="B8" s="4" t="s">
        <v>86</v>
      </c>
      <c r="C8" s="11">
        <f>C6-C7</f>
        <v>4498.7849999999999</v>
      </c>
      <c r="D8" s="11">
        <f>D6-D7</f>
        <v>4997.8159999999998</v>
      </c>
      <c r="E8" s="11">
        <f>E6-E7</f>
        <v>5300.9</v>
      </c>
      <c r="F8" s="11">
        <f>F6-F7</f>
        <v>3922.7000000000007</v>
      </c>
    </row>
    <row r="9" spans="2:6" x14ac:dyDescent="0.2">
      <c r="B9" s="5" t="s">
        <v>87</v>
      </c>
      <c r="C9" s="16">
        <f>C8/C6</f>
        <v>0.43177445611957971</v>
      </c>
      <c r="D9" s="16">
        <f t="shared" ref="D9:F9" si="0">D8/D6</f>
        <v>0.44763274348965049</v>
      </c>
      <c r="E9" s="16">
        <f t="shared" si="0"/>
        <v>0.4731974683770297</v>
      </c>
      <c r="F9" s="16">
        <f t="shared" si="0"/>
        <v>0.33548569180507337</v>
      </c>
    </row>
    <row r="10" spans="2:6" x14ac:dyDescent="0.2">
      <c r="B10" s="5" t="s">
        <v>88</v>
      </c>
      <c r="C10" s="20">
        <v>2236.009</v>
      </c>
      <c r="D10" s="20">
        <v>2436.5079999999998</v>
      </c>
      <c r="E10" s="20">
        <v>2373.6</v>
      </c>
      <c r="F10" s="20">
        <v>2460.6</v>
      </c>
    </row>
    <row r="11" spans="2:6" x14ac:dyDescent="0.2">
      <c r="B11" s="5" t="s">
        <v>89</v>
      </c>
      <c r="C11" s="20">
        <v>1.9890000000000001</v>
      </c>
      <c r="D11" s="20">
        <v>0.441</v>
      </c>
      <c r="E11" s="20">
        <v>29.1</v>
      </c>
      <c r="F11" s="20">
        <v>20.6</v>
      </c>
    </row>
    <row r="12" spans="2:6" x14ac:dyDescent="0.2">
      <c r="B12" s="4" t="s">
        <v>90</v>
      </c>
      <c r="C12" s="11">
        <f>C8-C10-C11</f>
        <v>2260.7869999999998</v>
      </c>
      <c r="D12" s="11">
        <f>D8-D10-D11</f>
        <v>2560.8670000000002</v>
      </c>
      <c r="E12" s="11">
        <f>E8-E10-E11</f>
        <v>2898.2</v>
      </c>
      <c r="F12" s="11">
        <f>F8-F10-F11</f>
        <v>1441.5000000000009</v>
      </c>
    </row>
    <row r="13" spans="2:6" x14ac:dyDescent="0.2">
      <c r="B13" s="5" t="s">
        <v>91</v>
      </c>
      <c r="C13" s="16">
        <f>C12/C6</f>
        <v>0.21698082422858975</v>
      </c>
      <c r="D13" s="16">
        <f t="shared" ref="D13:F13" si="1">D12/D6</f>
        <v>0.22936577115326193</v>
      </c>
      <c r="E13" s="16">
        <f t="shared" si="1"/>
        <v>0.25871472822545372</v>
      </c>
      <c r="F13" s="16">
        <f t="shared" si="1"/>
        <v>0.12328310213297307</v>
      </c>
    </row>
    <row r="14" spans="2:6" x14ac:dyDescent="0.2">
      <c r="B14" s="5" t="s">
        <v>92</v>
      </c>
      <c r="C14" s="20">
        <v>137.55699999999999</v>
      </c>
      <c r="D14" s="20">
        <v>151.785</v>
      </c>
      <c r="E14" s="20">
        <v>165.7</v>
      </c>
      <c r="F14" s="20">
        <v>190.2</v>
      </c>
    </row>
    <row r="15" spans="2:6" x14ac:dyDescent="0.2">
      <c r="B15" s="5" t="s">
        <v>93</v>
      </c>
      <c r="C15" s="20">
        <v>206.15899999999999</v>
      </c>
      <c r="D15" s="20">
        <v>237.21799999999999</v>
      </c>
      <c r="E15" s="20">
        <v>258.60000000000002</v>
      </c>
      <c r="F15" s="20">
        <v>37.1</v>
      </c>
    </row>
    <row r="16" spans="2:6" x14ac:dyDescent="0.2">
      <c r="B16" s="4" t="s">
        <v>94</v>
      </c>
      <c r="C16" s="11">
        <f>C12-C14-C15</f>
        <v>1917.0709999999999</v>
      </c>
      <c r="D16" s="11">
        <f>D12-D14-D15</f>
        <v>2171.8640000000005</v>
      </c>
      <c r="E16" s="11">
        <f>E12-E14-E15</f>
        <v>2473.9</v>
      </c>
      <c r="F16" s="11">
        <f>F12-F14-F15</f>
        <v>1214.200000000001</v>
      </c>
    </row>
    <row r="17" spans="2:12" x14ac:dyDescent="0.2">
      <c r="B17" s="5" t="s">
        <v>95</v>
      </c>
      <c r="C17" s="20">
        <v>272.25400000000002</v>
      </c>
      <c r="D17" s="20">
        <v>310.077</v>
      </c>
      <c r="E17" s="20">
        <v>252.7</v>
      </c>
      <c r="F17" s="20">
        <v>330.9</v>
      </c>
    </row>
    <row r="18" spans="2:12" x14ac:dyDescent="0.2">
      <c r="B18" s="5" t="s">
        <v>96</v>
      </c>
      <c r="C18" s="16">
        <f>C17/C16</f>
        <v>0.14201560609909597</v>
      </c>
      <c r="D18" s="16">
        <f t="shared" ref="D18:F18" si="2">D17/D16</f>
        <v>0.14276998928109677</v>
      </c>
      <c r="E18" s="16">
        <f t="shared" si="2"/>
        <v>0.10214640850479</v>
      </c>
      <c r="F18" s="16">
        <f t="shared" si="2"/>
        <v>0.27252511942019414</v>
      </c>
    </row>
    <row r="19" spans="2:12" x14ac:dyDescent="0.2">
      <c r="B19" s="4" t="s">
        <v>97</v>
      </c>
      <c r="C19" s="21">
        <f>C16-C17</f>
        <v>1644.817</v>
      </c>
      <c r="D19" s="21">
        <f>D16-D17</f>
        <v>1861.7870000000005</v>
      </c>
      <c r="E19" s="21">
        <f>E16-E17</f>
        <v>2221.2000000000003</v>
      </c>
      <c r="F19" s="21">
        <f>F16-F17</f>
        <v>883.30000000000098</v>
      </c>
      <c r="H19" s="41"/>
    </row>
    <row r="20" spans="2:12" x14ac:dyDescent="0.2">
      <c r="B20" s="5" t="s">
        <v>98</v>
      </c>
      <c r="C20" s="16">
        <f>C19/C6</f>
        <v>0.15786261525972872</v>
      </c>
      <c r="D20" s="16">
        <f t="shared" ref="D20:F20" si="3">D19/D6</f>
        <v>0.16675220188245549</v>
      </c>
      <c r="E20" s="16">
        <f t="shared" si="3"/>
        <v>0.19828071021129592</v>
      </c>
      <c r="F20" s="16">
        <f t="shared" si="3"/>
        <v>7.5543506149188464E-2</v>
      </c>
    </row>
    <row r="22" spans="2:12" x14ac:dyDescent="0.2">
      <c r="B22" s="5" t="s">
        <v>99</v>
      </c>
      <c r="C22" s="9">
        <v>7.96</v>
      </c>
      <c r="D22" s="9">
        <v>9.06</v>
      </c>
      <c r="E22" s="9">
        <v>10.92</v>
      </c>
      <c r="F22" s="9">
        <v>4.34</v>
      </c>
    </row>
    <row r="23" spans="2:12" x14ac:dyDescent="0.2">
      <c r="B23" s="5" t="s">
        <v>100</v>
      </c>
      <c r="C23" s="10">
        <v>206.57499999999999</v>
      </c>
      <c r="D23" s="10">
        <v>205.547</v>
      </c>
      <c r="E23" s="10">
        <v>203.5</v>
      </c>
      <c r="F23" s="10">
        <v>203.4</v>
      </c>
    </row>
    <row r="25" spans="2:12" x14ac:dyDescent="0.2">
      <c r="B25" s="6" t="s">
        <v>101</v>
      </c>
      <c r="C25" s="6"/>
      <c r="D25" s="6"/>
      <c r="E25" s="6"/>
      <c r="F25" s="6"/>
    </row>
    <row r="26" spans="2:12" x14ac:dyDescent="0.2">
      <c r="B26" s="5" t="s">
        <v>102</v>
      </c>
      <c r="C26" s="22">
        <f>'Cash Flow Statement'!C8</f>
        <v>379</v>
      </c>
      <c r="D26" s="22">
        <f>'Cash Flow Statement'!D8</f>
        <v>420</v>
      </c>
      <c r="E26" s="22">
        <f>'Cash Flow Statement'!E8</f>
        <v>455</v>
      </c>
      <c r="F26" s="22">
        <f>'Cash Flow Statement'!F8</f>
        <v>504</v>
      </c>
    </row>
    <row r="27" spans="2:12" x14ac:dyDescent="0.2">
      <c r="B27" s="4" t="s">
        <v>103</v>
      </c>
      <c r="C27" s="11">
        <f>C12+C26</f>
        <v>2639.7869999999998</v>
      </c>
      <c r="D27" s="11">
        <f>D12+D26</f>
        <v>2980.8670000000002</v>
      </c>
      <c r="E27" s="11">
        <f>E12+E26</f>
        <v>3353.2</v>
      </c>
      <c r="F27" s="11">
        <f>F12+F26</f>
        <v>1945.5000000000009</v>
      </c>
      <c r="H27" s="46"/>
      <c r="I27" s="46"/>
      <c r="J27" s="46"/>
      <c r="K27" s="46"/>
      <c r="L27" s="41"/>
    </row>
    <row r="28" spans="2:12" x14ac:dyDescent="0.2">
      <c r="B28" s="5" t="s">
        <v>104</v>
      </c>
      <c r="C28" s="16">
        <f>C27/C6</f>
        <v>0.25335564962462909</v>
      </c>
      <c r="D28" s="16">
        <f t="shared" ref="D28:F28" si="4">D27/D6</f>
        <v>0.26698335296612841</v>
      </c>
      <c r="E28" s="16">
        <f t="shared" si="4"/>
        <v>0.29933138730439285</v>
      </c>
      <c r="F28" s="16">
        <f t="shared" si="4"/>
        <v>0.16638728768622896</v>
      </c>
      <c r="I28" s="41"/>
    </row>
    <row r="29" spans="2:12" x14ac:dyDescent="0.2">
      <c r="B29" s="5" t="s">
        <v>105</v>
      </c>
      <c r="C29" s="16" t="s">
        <v>264</v>
      </c>
      <c r="D29" s="16">
        <f>(D6/C6)-1</f>
        <v>7.1568956591492761E-2</v>
      </c>
      <c r="E29" s="16">
        <f t="shared" ref="E29:F29" si="5">(E6/D6)-1</f>
        <v>3.3415160530343435E-3</v>
      </c>
      <c r="F29" s="16">
        <f t="shared" si="5"/>
        <v>4.3767797684404197E-2</v>
      </c>
      <c r="J29" s="4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39"/>
  <sheetViews>
    <sheetView showGridLines="0" zoomScaleNormal="100" workbookViewId="0">
      <pane xSplit="2" ySplit="5" topLeftCell="C10" activePane="bottomRight" state="frozen"/>
      <selection pane="topRight" activeCell="C1" sqref="C1"/>
      <selection pane="bottomLeft" activeCell="A6" sqref="A6"/>
      <selection pane="bottomRight" activeCell="E42" sqref="E42"/>
    </sheetView>
  </sheetViews>
  <sheetFormatPr baseColWidth="10" defaultColWidth="8.6640625" defaultRowHeight="15" x14ac:dyDescent="0.2"/>
  <cols>
    <col min="1" max="1" width="2" customWidth="1"/>
    <col min="2" max="2" width="42" customWidth="1"/>
    <col min="3" max="5" width="13" customWidth="1"/>
    <col min="6" max="6" width="3" customWidth="1"/>
  </cols>
  <sheetData>
    <row r="2" spans="2:5" ht="20" x14ac:dyDescent="0.2">
      <c r="B2" s="2" t="s">
        <v>106</v>
      </c>
    </row>
    <row r="3" spans="2:5" x14ac:dyDescent="0.2">
      <c r="B3" s="3" t="s">
        <v>107</v>
      </c>
    </row>
    <row r="5" spans="2:5" ht="18" customHeight="1" x14ac:dyDescent="0.2">
      <c r="B5" s="18"/>
      <c r="C5" s="19" t="s">
        <v>81</v>
      </c>
      <c r="D5" s="19" t="s">
        <v>82</v>
      </c>
      <c r="E5" s="19" t="s">
        <v>83</v>
      </c>
    </row>
    <row r="6" spans="2:5" x14ac:dyDescent="0.2">
      <c r="B6" s="6" t="s">
        <v>108</v>
      </c>
      <c r="C6" s="6"/>
      <c r="D6" s="6"/>
      <c r="E6" s="6"/>
    </row>
    <row r="7" spans="2:5" x14ac:dyDescent="0.2">
      <c r="B7" s="5" t="s">
        <v>109</v>
      </c>
      <c r="C7" s="20">
        <v>401.9</v>
      </c>
      <c r="D7" s="20">
        <v>730.75</v>
      </c>
      <c r="E7" s="20">
        <v>925.86</v>
      </c>
    </row>
    <row r="8" spans="2:5" x14ac:dyDescent="0.2">
      <c r="B8" s="5" t="s">
        <v>110</v>
      </c>
      <c r="C8" s="20">
        <v>823.62</v>
      </c>
      <c r="D8" s="20">
        <v>800.4</v>
      </c>
      <c r="E8" s="20">
        <v>729.55</v>
      </c>
    </row>
    <row r="9" spans="2:5" x14ac:dyDescent="0.2">
      <c r="B9" s="5" t="s">
        <v>111</v>
      </c>
      <c r="C9" s="20">
        <v>1341</v>
      </c>
      <c r="D9" s="20">
        <v>1254</v>
      </c>
      <c r="E9" s="20">
        <v>1429</v>
      </c>
    </row>
    <row r="10" spans="2:5" x14ac:dyDescent="0.2">
      <c r="B10" s="5" t="s">
        <v>112</v>
      </c>
      <c r="C10" s="20">
        <v>345.59</v>
      </c>
      <c r="D10" s="20">
        <v>974.21</v>
      </c>
      <c r="E10" s="20">
        <v>504.24</v>
      </c>
    </row>
    <row r="11" spans="2:5" x14ac:dyDescent="0.2">
      <c r="B11" s="4" t="s">
        <v>113</v>
      </c>
      <c r="C11" s="11">
        <f>SUM(C7:C10)</f>
        <v>2912.11</v>
      </c>
      <c r="D11" s="11">
        <f>SUM(D7:D10)</f>
        <v>3759.36</v>
      </c>
      <c r="E11" s="11">
        <f>SUM(E7:E10)</f>
        <v>3588.6499999999996</v>
      </c>
    </row>
    <row r="12" spans="2:5" x14ac:dyDescent="0.2">
      <c r="B12" s="5" t="s">
        <v>114</v>
      </c>
      <c r="C12" s="20">
        <v>3618</v>
      </c>
      <c r="D12" s="20">
        <v>3797</v>
      </c>
      <c r="E12" s="20">
        <v>3855</v>
      </c>
    </row>
    <row r="13" spans="2:5" x14ac:dyDescent="0.2">
      <c r="B13" s="5" t="s">
        <v>115</v>
      </c>
      <c r="C13" s="20">
        <v>2696</v>
      </c>
      <c r="D13" s="20">
        <v>2706</v>
      </c>
      <c r="E13" s="20">
        <v>2996</v>
      </c>
    </row>
    <row r="14" spans="2:5" x14ac:dyDescent="0.2">
      <c r="B14" s="5" t="s">
        <v>116</v>
      </c>
      <c r="C14" s="20">
        <v>2239</v>
      </c>
      <c r="D14" s="20">
        <v>2241</v>
      </c>
      <c r="E14" s="20">
        <v>2827</v>
      </c>
    </row>
    <row r="15" spans="2:5" x14ac:dyDescent="0.2">
      <c r="B15" s="5" t="s">
        <v>117</v>
      </c>
      <c r="C15" s="20">
        <v>438</v>
      </c>
      <c r="D15" s="20">
        <v>444</v>
      </c>
      <c r="E15" s="20">
        <v>474</v>
      </c>
    </row>
    <row r="16" spans="2:5" x14ac:dyDescent="0.2">
      <c r="B16" s="4" t="s">
        <v>118</v>
      </c>
      <c r="C16" s="21">
        <f>C11+C12+C13+C14+C15</f>
        <v>11903.11</v>
      </c>
      <c r="D16" s="21">
        <f>D11+D12+D13+D14+D15</f>
        <v>12947.36</v>
      </c>
      <c r="E16" s="21">
        <f>E11+E12+E13+E14+E15</f>
        <v>13740.65</v>
      </c>
    </row>
    <row r="18" spans="2:6" x14ac:dyDescent="0.2">
      <c r="B18" s="6" t="s">
        <v>119</v>
      </c>
      <c r="C18" s="6"/>
      <c r="D18" s="6"/>
      <c r="E18" s="6"/>
    </row>
    <row r="19" spans="2:6" x14ac:dyDescent="0.2">
      <c r="B19" s="5" t="s">
        <v>120</v>
      </c>
      <c r="C19" s="20">
        <v>1086</v>
      </c>
      <c r="D19" s="20">
        <v>1159</v>
      </c>
      <c r="E19" s="20">
        <v>1256</v>
      </c>
    </row>
    <row r="20" spans="2:6" x14ac:dyDescent="0.2">
      <c r="B20" s="5" t="s">
        <v>121</v>
      </c>
      <c r="C20" s="20">
        <v>719.84</v>
      </c>
      <c r="D20" s="20">
        <v>1307</v>
      </c>
      <c r="E20" s="20">
        <v>218.55</v>
      </c>
    </row>
    <row r="21" spans="2:6" x14ac:dyDescent="0.2">
      <c r="B21" s="5" t="s">
        <v>122</v>
      </c>
      <c r="C21" s="20">
        <v>1202.1600000000001</v>
      </c>
      <c r="D21" s="20">
        <v>1463</v>
      </c>
      <c r="E21" s="20">
        <v>1539.45</v>
      </c>
    </row>
    <row r="22" spans="2:6" x14ac:dyDescent="0.2">
      <c r="B22" s="4" t="s">
        <v>123</v>
      </c>
      <c r="C22" s="11">
        <f>SUM(C19:C21)</f>
        <v>3008</v>
      </c>
      <c r="D22" s="11">
        <f>SUM(D19:D21)</f>
        <v>3929</v>
      </c>
      <c r="E22" s="11">
        <f>SUM(E19:E21)</f>
        <v>3014</v>
      </c>
    </row>
    <row r="23" spans="2:6" x14ac:dyDescent="0.2">
      <c r="B23" s="5" t="s">
        <v>124</v>
      </c>
      <c r="C23" s="20">
        <v>3719</v>
      </c>
      <c r="D23" s="20">
        <v>3122</v>
      </c>
      <c r="E23" s="20">
        <v>4612</v>
      </c>
    </row>
    <row r="24" spans="2:6" x14ac:dyDescent="0.2">
      <c r="B24" s="5" t="s">
        <v>125</v>
      </c>
      <c r="C24" s="20">
        <v>345.7</v>
      </c>
      <c r="D24" s="20">
        <v>424.24</v>
      </c>
      <c r="E24" s="20">
        <v>679.54</v>
      </c>
    </row>
    <row r="25" spans="2:6" x14ac:dyDescent="0.2">
      <c r="B25" s="5" t="s">
        <v>126</v>
      </c>
      <c r="C25" s="20">
        <v>732.3</v>
      </c>
      <c r="D25" s="20">
        <v>756.47</v>
      </c>
      <c r="E25" s="20">
        <v>789.84</v>
      </c>
    </row>
    <row r="26" spans="2:6" x14ac:dyDescent="0.2">
      <c r="B26" s="4" t="s">
        <v>127</v>
      </c>
      <c r="C26" s="11">
        <f>C22+C23+C24+C25</f>
        <v>7805</v>
      </c>
      <c r="D26" s="11">
        <f>D22+D23+D24+D25</f>
        <v>8231.7099999999991</v>
      </c>
      <c r="E26" s="11">
        <f>E22+E23+E24+E25</f>
        <v>9095.380000000001</v>
      </c>
    </row>
    <row r="28" spans="2:6" x14ac:dyDescent="0.2">
      <c r="B28" s="6" t="s">
        <v>128</v>
      </c>
      <c r="C28" s="6"/>
      <c r="D28" s="6"/>
      <c r="E28" s="6"/>
    </row>
    <row r="29" spans="2:6" x14ac:dyDescent="0.2">
      <c r="B29" s="4" t="s">
        <v>129</v>
      </c>
      <c r="C29" s="23">
        <v>4099</v>
      </c>
      <c r="D29" s="23">
        <v>4715</v>
      </c>
      <c r="E29" s="23">
        <v>4637</v>
      </c>
    </row>
    <row r="30" spans="2:6" x14ac:dyDescent="0.2">
      <c r="B30" s="4" t="s">
        <v>130</v>
      </c>
      <c r="C30" s="21">
        <f>C26+C29</f>
        <v>11904</v>
      </c>
      <c r="D30" s="21">
        <f>D26+D29</f>
        <v>12946.71</v>
      </c>
      <c r="E30" s="21">
        <f>E26+E29</f>
        <v>13732.380000000001</v>
      </c>
    </row>
    <row r="32" spans="2:6" x14ac:dyDescent="0.2">
      <c r="B32" s="5" t="s">
        <v>131</v>
      </c>
      <c r="C32" s="24">
        <f>C16-C30</f>
        <v>-0.88999999999941792</v>
      </c>
      <c r="D32" s="24">
        <f>D16-D30</f>
        <v>0.65000000000145519</v>
      </c>
      <c r="E32" s="24">
        <f>E16-E30</f>
        <v>8.2699999999986176</v>
      </c>
      <c r="F32" s="40" t="s">
        <v>132</v>
      </c>
    </row>
    <row r="35" spans="2:5" x14ac:dyDescent="0.2">
      <c r="B35" s="6" t="s">
        <v>133</v>
      </c>
      <c r="C35" s="6"/>
      <c r="D35" s="6"/>
      <c r="E35" s="6"/>
    </row>
    <row r="36" spans="2:5" x14ac:dyDescent="0.2">
      <c r="B36" s="5" t="s">
        <v>134</v>
      </c>
      <c r="C36" s="25">
        <f>C11/C22</f>
        <v>0.96812167553191497</v>
      </c>
      <c r="D36" s="25">
        <f t="shared" ref="D36:E36" si="0">D11/D22</f>
        <v>0.95682361924153736</v>
      </c>
      <c r="E36" s="25">
        <f t="shared" si="0"/>
        <v>1.1906602521566023</v>
      </c>
    </row>
    <row r="37" spans="2:5" x14ac:dyDescent="0.2">
      <c r="B37" s="5" t="s">
        <v>135</v>
      </c>
      <c r="C37" s="22">
        <f>C20+C23</f>
        <v>4438.84</v>
      </c>
      <c r="D37" s="22">
        <f>D20+D23</f>
        <v>4429</v>
      </c>
      <c r="E37" s="22">
        <f>E20+E23</f>
        <v>4830.55</v>
      </c>
    </row>
    <row r="38" spans="2:5" x14ac:dyDescent="0.2">
      <c r="B38" s="5" t="s">
        <v>136</v>
      </c>
      <c r="C38" s="26">
        <f>(C37-C11)/'Income Statement'!C27</f>
        <v>0.57835348079220028</v>
      </c>
      <c r="D38" s="26">
        <f>(D37-D11)/'Income Statement'!D27</f>
        <v>0.22464605096436702</v>
      </c>
      <c r="E38" s="26">
        <f>(E37-E11)/'Income Statement'!E27</f>
        <v>0.37036263867350611</v>
      </c>
    </row>
    <row r="39" spans="2:5" x14ac:dyDescent="0.2">
      <c r="B39" s="5" t="s">
        <v>137</v>
      </c>
      <c r="C39" s="26">
        <f>C37/C29</f>
        <v>1.0829080263478899</v>
      </c>
      <c r="D39" s="26">
        <f t="shared" ref="D39:E39" si="1">D37/D29</f>
        <v>0.93934252386002126</v>
      </c>
      <c r="E39" s="26">
        <f t="shared" si="1"/>
        <v>1.0417403493638129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17" sqref="J17:P23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6" width="13" customWidth="1"/>
    <col min="7" max="7" width="3" customWidth="1"/>
  </cols>
  <sheetData>
    <row r="2" spans="2:6" ht="20" x14ac:dyDescent="0.2">
      <c r="B2" s="2" t="s">
        <v>138</v>
      </c>
    </row>
    <row r="3" spans="2:6" x14ac:dyDescent="0.2">
      <c r="B3" s="3" t="s">
        <v>139</v>
      </c>
    </row>
    <row r="5" spans="2:6" ht="18" customHeight="1" x14ac:dyDescent="0.2">
      <c r="B5" s="18"/>
      <c r="C5" s="19" t="s">
        <v>80</v>
      </c>
      <c r="D5" s="19" t="s">
        <v>81</v>
      </c>
      <c r="E5" s="19" t="s">
        <v>82</v>
      </c>
      <c r="F5" s="19" t="s">
        <v>83</v>
      </c>
    </row>
    <row r="6" spans="2:6" x14ac:dyDescent="0.2">
      <c r="B6" s="6" t="s">
        <v>140</v>
      </c>
      <c r="C6" s="6"/>
      <c r="D6" s="6"/>
      <c r="E6" s="6"/>
      <c r="F6" s="6"/>
    </row>
    <row r="7" spans="2:6" x14ac:dyDescent="0.2">
      <c r="B7" s="5" t="s">
        <v>97</v>
      </c>
      <c r="C7" s="20">
        <v>1644.817</v>
      </c>
      <c r="D7" s="20">
        <v>1861.787</v>
      </c>
      <c r="E7" s="20">
        <v>2221.1999999999998</v>
      </c>
      <c r="F7" s="20">
        <v>883.3</v>
      </c>
    </row>
    <row r="8" spans="2:6" x14ac:dyDescent="0.2">
      <c r="B8" s="5" t="s">
        <v>102</v>
      </c>
      <c r="C8" s="20">
        <v>379</v>
      </c>
      <c r="D8" s="20">
        <v>420</v>
      </c>
      <c r="E8" s="20">
        <v>455</v>
      </c>
      <c r="F8" s="20">
        <v>504</v>
      </c>
    </row>
    <row r="9" spans="2:6" x14ac:dyDescent="0.2">
      <c r="B9" s="5" t="s">
        <v>141</v>
      </c>
      <c r="C9" s="20">
        <v>66</v>
      </c>
      <c r="D9" s="20">
        <v>81</v>
      </c>
      <c r="E9" s="20">
        <v>44</v>
      </c>
      <c r="F9" s="20">
        <v>65</v>
      </c>
    </row>
    <row r="10" spans="2:6" x14ac:dyDescent="0.2">
      <c r="B10" s="5" t="s">
        <v>142</v>
      </c>
      <c r="C10" s="20">
        <v>-108</v>
      </c>
      <c r="D10" s="20">
        <v>-369</v>
      </c>
      <c r="E10" s="20">
        <v>-69</v>
      </c>
      <c r="F10" s="20">
        <v>40</v>
      </c>
    </row>
    <row r="11" spans="2:6" x14ac:dyDescent="0.2">
      <c r="B11" s="4" t="s">
        <v>143</v>
      </c>
      <c r="C11" s="27">
        <v>2328</v>
      </c>
      <c r="D11" s="27">
        <v>2323</v>
      </c>
      <c r="E11" s="27">
        <v>2532</v>
      </c>
      <c r="F11" s="27">
        <v>2277</v>
      </c>
    </row>
    <row r="13" spans="2:6" x14ac:dyDescent="0.2">
      <c r="B13" s="6" t="s">
        <v>144</v>
      </c>
      <c r="C13" s="6"/>
      <c r="D13" s="6"/>
      <c r="E13" s="6"/>
      <c r="F13" s="6"/>
    </row>
    <row r="14" spans="2:6" x14ac:dyDescent="0.2">
      <c r="B14" s="5" t="s">
        <v>145</v>
      </c>
      <c r="C14" s="20">
        <v>-519</v>
      </c>
      <c r="D14" s="20">
        <v>-771</v>
      </c>
      <c r="E14" s="20">
        <v>-606</v>
      </c>
      <c r="F14" s="20">
        <v>-455</v>
      </c>
    </row>
    <row r="15" spans="2:6" x14ac:dyDescent="0.2">
      <c r="B15" s="5" t="s">
        <v>146</v>
      </c>
      <c r="C15" s="20">
        <v>0</v>
      </c>
      <c r="D15" s="20">
        <v>-166</v>
      </c>
      <c r="E15" s="20">
        <v>-76</v>
      </c>
      <c r="F15" s="20">
        <v>-756</v>
      </c>
    </row>
    <row r="16" spans="2:6" x14ac:dyDescent="0.2">
      <c r="B16" s="4" t="s">
        <v>147</v>
      </c>
      <c r="C16" s="27">
        <v>-787</v>
      </c>
      <c r="D16" s="27">
        <v>-1199</v>
      </c>
      <c r="E16" s="27">
        <v>-960</v>
      </c>
      <c r="F16" s="27">
        <v>-1279</v>
      </c>
    </row>
    <row r="18" spans="2:16" x14ac:dyDescent="0.2">
      <c r="B18" s="6" t="s">
        <v>148</v>
      </c>
      <c r="C18" s="6"/>
      <c r="D18" s="6"/>
      <c r="E18" s="6"/>
      <c r="F18" s="6"/>
    </row>
    <row r="19" spans="2:16" x14ac:dyDescent="0.2">
      <c r="B19" s="5" t="s">
        <v>149</v>
      </c>
      <c r="C19" s="20">
        <v>-775</v>
      </c>
      <c r="D19" s="20">
        <v>-889</v>
      </c>
      <c r="E19" s="20">
        <v>-1085</v>
      </c>
      <c r="F19" s="20">
        <v>-1085</v>
      </c>
      <c r="K19" s="44"/>
      <c r="L19" s="44"/>
      <c r="M19" s="44"/>
      <c r="N19" s="44"/>
    </row>
    <row r="20" spans="2:16" x14ac:dyDescent="0.2">
      <c r="B20" s="5" t="s">
        <v>150</v>
      </c>
      <c r="C20" s="20">
        <v>-424</v>
      </c>
      <c r="D20" s="20">
        <v>-300</v>
      </c>
      <c r="E20" s="20">
        <v>-527</v>
      </c>
      <c r="F20" s="20">
        <v>-19</v>
      </c>
      <c r="M20" s="43"/>
    </row>
    <row r="21" spans="2:16" x14ac:dyDescent="0.2">
      <c r="B21" s="5" t="s">
        <v>151</v>
      </c>
      <c r="C21" s="20">
        <v>-250</v>
      </c>
      <c r="D21" s="20">
        <v>15</v>
      </c>
      <c r="E21" s="20">
        <v>301</v>
      </c>
      <c r="F21" s="20">
        <v>279</v>
      </c>
    </row>
    <row r="22" spans="2:16" x14ac:dyDescent="0.2">
      <c r="B22" s="4" t="s">
        <v>152</v>
      </c>
      <c r="C22" s="27">
        <v>-1416</v>
      </c>
      <c r="D22" s="27">
        <v>-1148</v>
      </c>
      <c r="E22" s="27">
        <v>-1297</v>
      </c>
      <c r="F22" s="27">
        <v>-803</v>
      </c>
      <c r="I22" s="42"/>
      <c r="J22" s="42"/>
      <c r="K22" s="42"/>
      <c r="L22" s="42"/>
    </row>
    <row r="24" spans="2:16" x14ac:dyDescent="0.2">
      <c r="B24" s="4" t="s">
        <v>153</v>
      </c>
      <c r="C24" s="21">
        <f>C11+C16+C22</f>
        <v>125</v>
      </c>
      <c r="D24" s="21">
        <f>D11+D16+D22</f>
        <v>-24</v>
      </c>
      <c r="E24" s="21">
        <f>E11+E16+E22</f>
        <v>275</v>
      </c>
      <c r="F24" s="21">
        <f>F11+F16+F22</f>
        <v>195</v>
      </c>
      <c r="J24" s="43"/>
    </row>
    <row r="25" spans="2:16" ht="27.75" customHeight="1" x14ac:dyDescent="0.2">
      <c r="B25" s="1" t="s">
        <v>154</v>
      </c>
      <c r="C25" s="1"/>
      <c r="D25" s="1"/>
      <c r="E25" s="1"/>
      <c r="F25" s="1"/>
      <c r="M25" s="42"/>
      <c r="N25" s="42"/>
      <c r="O25" s="42"/>
      <c r="P25" s="42"/>
    </row>
    <row r="26" spans="2:16" x14ac:dyDescent="0.2">
      <c r="L26" s="42"/>
      <c r="M26" s="42"/>
      <c r="N26" s="42"/>
      <c r="O26" s="42"/>
      <c r="P26" s="42"/>
    </row>
    <row r="27" spans="2:16" x14ac:dyDescent="0.2">
      <c r="B27" s="6" t="s">
        <v>155</v>
      </c>
      <c r="C27" s="6"/>
      <c r="D27" s="6"/>
      <c r="E27" s="6"/>
      <c r="F27" s="6"/>
      <c r="N27" s="43"/>
      <c r="O27" s="44"/>
    </row>
    <row r="28" spans="2:16" x14ac:dyDescent="0.2">
      <c r="B28" s="4" t="s">
        <v>156</v>
      </c>
      <c r="C28" s="11">
        <f>C11+C14</f>
        <v>1809</v>
      </c>
      <c r="D28" s="11">
        <f>D11+D14</f>
        <v>1552</v>
      </c>
      <c r="E28" s="11">
        <f>E11+E14</f>
        <v>1926</v>
      </c>
      <c r="F28" s="11">
        <f>F11+F14</f>
        <v>1822</v>
      </c>
    </row>
    <row r="29" spans="2:16" x14ac:dyDescent="0.2">
      <c r="B29" s="5" t="s">
        <v>157</v>
      </c>
      <c r="C29" s="16">
        <f>C28/'Income Statement'!C6</f>
        <v>0.17362020881645149</v>
      </c>
      <c r="D29" s="16">
        <f>D28/'Income Statement'!D6</f>
        <v>0.13900592136564002</v>
      </c>
      <c r="E29" s="16">
        <f>E28/'Income Statement'!E6</f>
        <v>0.17192897887041056</v>
      </c>
      <c r="F29" s="16">
        <f>F28/'Income Statement'!F6</f>
        <v>0.15582505174212749</v>
      </c>
    </row>
    <row r="30" spans="2:16" x14ac:dyDescent="0.2">
      <c r="B30" s="5" t="s">
        <v>158</v>
      </c>
      <c r="C30" s="16">
        <f>C28/'Income Statement'!C27</f>
        <v>0.68528256257038922</v>
      </c>
      <c r="D30" s="16">
        <f>D28/'Income Statement'!D27</f>
        <v>0.52065389029433384</v>
      </c>
      <c r="E30" s="16">
        <f>E28/'Income Statement'!E27</f>
        <v>0.57437671477991181</v>
      </c>
      <c r="F30" s="16">
        <f>F28/'Income Statement'!F27</f>
        <v>0.93652017476227145</v>
      </c>
    </row>
  </sheetData>
  <mergeCells count="1">
    <mergeCell ref="B25:F25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55"/>
  <sheetViews>
    <sheetView showGridLines="0" zoomScaleNormal="100"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K31" sqref="K31"/>
    </sheetView>
  </sheetViews>
  <sheetFormatPr baseColWidth="10" defaultColWidth="8.6640625" defaultRowHeight="15" x14ac:dyDescent="0.2"/>
  <cols>
    <col min="1" max="1" width="2" customWidth="1"/>
    <col min="2" max="2" width="44" customWidth="1"/>
    <col min="3" max="8" width="13" customWidth="1"/>
    <col min="9" max="9" width="3" customWidth="1"/>
    <col min="11" max="11" width="7.5" bestFit="1" customWidth="1"/>
  </cols>
  <sheetData>
    <row r="2" spans="2:9" ht="20" x14ac:dyDescent="0.2">
      <c r="B2" s="2" t="s">
        <v>159</v>
      </c>
    </row>
    <row r="3" spans="2:9" x14ac:dyDescent="0.2">
      <c r="B3" s="3" t="s">
        <v>160</v>
      </c>
    </row>
    <row r="5" spans="2:9" ht="18" customHeight="1" x14ac:dyDescent="0.2">
      <c r="B5" s="18"/>
      <c r="C5" s="19" t="s">
        <v>83</v>
      </c>
      <c r="D5" s="19" t="s">
        <v>161</v>
      </c>
      <c r="E5" s="19" t="s">
        <v>162</v>
      </c>
      <c r="F5" s="19" t="s">
        <v>163</v>
      </c>
      <c r="G5" s="19" t="s">
        <v>164</v>
      </c>
      <c r="H5" s="19" t="s">
        <v>165</v>
      </c>
    </row>
    <row r="6" spans="2:9" x14ac:dyDescent="0.2">
      <c r="B6" s="6" t="s">
        <v>166</v>
      </c>
      <c r="C6" s="6"/>
      <c r="D6" s="6"/>
      <c r="E6" s="6"/>
      <c r="F6" s="6"/>
      <c r="G6" s="6"/>
      <c r="H6" s="6"/>
    </row>
    <row r="7" spans="2:9" x14ac:dyDescent="0.2">
      <c r="B7" s="5" t="s">
        <v>84</v>
      </c>
      <c r="C7" s="12">
        <f>'Income Statement'!F6</f>
        <v>11692.6</v>
      </c>
      <c r="D7" s="22">
        <f>C7*(1+D8)</f>
        <v>12335.692999999999</v>
      </c>
      <c r="E7" s="22">
        <f>D7*(1+E8)</f>
        <v>13014.156114999998</v>
      </c>
      <c r="F7" s="22">
        <f>E7*(1+F8)</f>
        <v>13729.934701324997</v>
      </c>
      <c r="G7" s="22">
        <f>F7*(1+G8)</f>
        <v>14485.081109897872</v>
      </c>
      <c r="H7" s="22">
        <f>G7*(1+H8)</f>
        <v>15281.760570942253</v>
      </c>
    </row>
    <row r="8" spans="2:9" x14ac:dyDescent="0.2">
      <c r="B8" s="5" t="s">
        <v>167</v>
      </c>
      <c r="D8" s="16">
        <v>5.5E-2</v>
      </c>
      <c r="E8" s="16">
        <v>5.5E-2</v>
      </c>
      <c r="F8" s="16">
        <v>5.5E-2</v>
      </c>
      <c r="G8" s="16">
        <v>5.5E-2</v>
      </c>
      <c r="H8" s="16">
        <v>5.5E-2</v>
      </c>
    </row>
    <row r="10" spans="2:9" x14ac:dyDescent="0.2">
      <c r="B10" s="6" t="s">
        <v>168</v>
      </c>
      <c r="C10" s="6"/>
      <c r="D10" s="6"/>
      <c r="E10" s="6"/>
      <c r="F10" s="6"/>
      <c r="G10" s="6"/>
      <c r="H10" s="6"/>
    </row>
    <row r="11" spans="2:9" x14ac:dyDescent="0.2">
      <c r="B11" s="5" t="s">
        <v>169</v>
      </c>
      <c r="D11" s="16">
        <v>0.247</v>
      </c>
      <c r="E11" s="16">
        <v>0.247</v>
      </c>
      <c r="F11" s="16">
        <v>0.247</v>
      </c>
      <c r="G11" s="16">
        <v>0.247</v>
      </c>
      <c r="H11" s="16">
        <v>0.247</v>
      </c>
    </row>
    <row r="12" spans="2:9" x14ac:dyDescent="0.2">
      <c r="B12" s="4" t="s">
        <v>170</v>
      </c>
      <c r="D12" s="11">
        <f>D7*D11</f>
        <v>3046.9161709999998</v>
      </c>
      <c r="E12" s="11">
        <f>E7*E11</f>
        <v>3214.4965604049994</v>
      </c>
      <c r="F12" s="11">
        <f>F7*F11</f>
        <v>3391.2938712272744</v>
      </c>
      <c r="G12" s="11">
        <f>G7*G11</f>
        <v>3577.8150341447745</v>
      </c>
      <c r="H12" s="11">
        <f>H7*H11</f>
        <v>3774.5948610227365</v>
      </c>
    </row>
    <row r="13" spans="2:9" x14ac:dyDescent="0.2">
      <c r="B13" s="5" t="s">
        <v>171</v>
      </c>
      <c r="D13" s="16">
        <v>3.9E-2</v>
      </c>
      <c r="E13" s="16">
        <v>3.9E-2</v>
      </c>
      <c r="F13" s="16">
        <v>3.9E-2</v>
      </c>
      <c r="G13" s="16">
        <v>3.9E-2</v>
      </c>
      <c r="H13" s="16">
        <v>3.9E-2</v>
      </c>
    </row>
    <row r="14" spans="2:9" x14ac:dyDescent="0.2">
      <c r="B14" s="5" t="s">
        <v>172</v>
      </c>
      <c r="D14" s="22">
        <f>-D7*D13</f>
        <v>-481.09202699999997</v>
      </c>
      <c r="E14" s="22">
        <f>-E7*E13</f>
        <v>-507.5520884849999</v>
      </c>
      <c r="F14" s="22">
        <f>-F7*F13</f>
        <v>-535.46745335167486</v>
      </c>
      <c r="G14" s="22">
        <f>-G7*G13</f>
        <v>-564.91816328601703</v>
      </c>
      <c r="H14" s="22">
        <f>-H7*H13</f>
        <v>-595.98866226674784</v>
      </c>
    </row>
    <row r="15" spans="2:9" x14ac:dyDescent="0.2">
      <c r="B15" s="4" t="s">
        <v>173</v>
      </c>
      <c r="D15" s="11">
        <f>D12+D14</f>
        <v>2565.8241439999997</v>
      </c>
      <c r="E15" s="11">
        <f>E12+E14</f>
        <v>2706.9444719199996</v>
      </c>
      <c r="F15" s="11">
        <f>F12+F14</f>
        <v>2855.8264178755994</v>
      </c>
      <c r="G15" s="11">
        <f>G12+G14</f>
        <v>3012.8968708587572</v>
      </c>
      <c r="H15" s="11">
        <f>H12+H14</f>
        <v>3178.6061987559888</v>
      </c>
    </row>
    <row r="16" spans="2:9" x14ac:dyDescent="0.2">
      <c r="B16" s="5" t="s">
        <v>174</v>
      </c>
      <c r="D16" s="28">
        <f>Assumptions!$C$24</f>
        <v>0.16500000000000001</v>
      </c>
      <c r="E16" s="28">
        <f>Assumptions!$C$24</f>
        <v>0.16500000000000001</v>
      </c>
      <c r="F16" s="28">
        <f>Assumptions!$C$24</f>
        <v>0.16500000000000001</v>
      </c>
      <c r="G16" s="28">
        <f>Assumptions!$C$24</f>
        <v>0.16500000000000001</v>
      </c>
      <c r="H16" s="28">
        <f>Assumptions!$C$24</f>
        <v>0.16500000000000001</v>
      </c>
    </row>
    <row r="17" spans="2:9" x14ac:dyDescent="0.2">
      <c r="B17" s="5" t="s">
        <v>175</v>
      </c>
      <c r="D17" s="22">
        <f>-D15*D16</f>
        <v>-423.36098375999995</v>
      </c>
      <c r="E17" s="22">
        <f>-E15*E16</f>
        <v>-446.64583786679998</v>
      </c>
      <c r="F17" s="22">
        <f>-F15*F16</f>
        <v>-471.21135894947395</v>
      </c>
      <c r="G17" s="22">
        <f>-G15*G16</f>
        <v>-497.12798369169496</v>
      </c>
      <c r="H17" s="22">
        <f>-H15*H16</f>
        <v>-524.47002279473816</v>
      </c>
    </row>
    <row r="18" spans="2:9" x14ac:dyDescent="0.2">
      <c r="B18" s="4" t="s">
        <v>176</v>
      </c>
      <c r="D18" s="11">
        <f>D15+D17</f>
        <v>2142.4631602399995</v>
      </c>
      <c r="E18" s="11">
        <f>E15+E17</f>
        <v>2260.2986340531997</v>
      </c>
      <c r="F18" s="11">
        <f>F15+F17</f>
        <v>2384.6150589261256</v>
      </c>
      <c r="G18" s="11">
        <f>G15+G17</f>
        <v>2515.7688871670621</v>
      </c>
      <c r="H18" s="11">
        <f>H15+H17</f>
        <v>2654.1361759612505</v>
      </c>
    </row>
    <row r="20" spans="2:9" x14ac:dyDescent="0.2">
      <c r="B20" s="6" t="s">
        <v>177</v>
      </c>
      <c r="C20" s="6"/>
      <c r="D20" s="6"/>
      <c r="E20" s="6"/>
      <c r="F20" s="6"/>
      <c r="G20" s="6"/>
      <c r="H20" s="6"/>
    </row>
    <row r="21" spans="2:9" x14ac:dyDescent="0.2">
      <c r="B21" s="5" t="s">
        <v>178</v>
      </c>
      <c r="D21" s="22">
        <f>-D14</f>
        <v>481.09202699999997</v>
      </c>
      <c r="E21" s="22">
        <f>-E14</f>
        <v>507.5520884849999</v>
      </c>
      <c r="F21" s="22">
        <f>-F14</f>
        <v>535.46745335167486</v>
      </c>
      <c r="G21" s="22">
        <f>-G14</f>
        <v>564.91816328601703</v>
      </c>
      <c r="H21" s="22">
        <f>-H14</f>
        <v>595.98866226674784</v>
      </c>
    </row>
    <row r="22" spans="2:9" x14ac:dyDescent="0.2">
      <c r="B22" s="5" t="s">
        <v>179</v>
      </c>
      <c r="D22" s="16">
        <v>5.2999999999999999E-2</v>
      </c>
      <c r="E22" s="16">
        <v>5.2999999999999999E-2</v>
      </c>
      <c r="F22" s="16">
        <v>5.2999999999999999E-2</v>
      </c>
      <c r="G22" s="16">
        <v>5.2999999999999999E-2</v>
      </c>
      <c r="H22" s="16">
        <v>5.2999999999999999E-2</v>
      </c>
    </row>
    <row r="23" spans="2:9" x14ac:dyDescent="0.2">
      <c r="B23" s="5" t="s">
        <v>180</v>
      </c>
      <c r="D23" s="22">
        <f>-D7*D22</f>
        <v>-653.79172899999992</v>
      </c>
      <c r="E23" s="22">
        <f>-E7*E22</f>
        <v>-689.7502740949999</v>
      </c>
      <c r="F23" s="22">
        <f>-F7*F22</f>
        <v>-727.68653917022482</v>
      </c>
      <c r="G23" s="22">
        <f>-G7*G22</f>
        <v>-767.70929882458722</v>
      </c>
      <c r="H23" s="22">
        <f>-H7*H22</f>
        <v>-809.93331025993939</v>
      </c>
    </row>
    <row r="24" spans="2:9" x14ac:dyDescent="0.2">
      <c r="B24" s="5" t="s">
        <v>181</v>
      </c>
      <c r="D24" s="16">
        <v>1.15E-2</v>
      </c>
      <c r="E24" s="16">
        <v>1.15E-2</v>
      </c>
      <c r="F24" s="16">
        <v>1.15E-2</v>
      </c>
      <c r="G24" s="16">
        <v>1.15E-2</v>
      </c>
      <c r="H24" s="16">
        <v>1.15E-2</v>
      </c>
    </row>
    <row r="25" spans="2:9" x14ac:dyDescent="0.2">
      <c r="B25" s="5" t="s">
        <v>182</v>
      </c>
      <c r="D25" s="22">
        <f>-D7*D24</f>
        <v>-141.86046949999999</v>
      </c>
      <c r="E25" s="22">
        <f>-E7*E24</f>
        <v>-149.66279532249996</v>
      </c>
      <c r="F25" s="22">
        <f>-F7*F24</f>
        <v>-157.89424906523746</v>
      </c>
      <c r="G25" s="22">
        <f>-G7*G24</f>
        <v>-166.57843276382553</v>
      </c>
      <c r="H25" s="22">
        <f>-H7*H24</f>
        <v>-175.74024656583592</v>
      </c>
    </row>
    <row r="26" spans="2:9" x14ac:dyDescent="0.2">
      <c r="B26" s="4" t="s">
        <v>183</v>
      </c>
      <c r="D26" s="21">
        <f>D18+D21+D23+D25</f>
        <v>1827.9029887399997</v>
      </c>
      <c r="E26" s="21">
        <f>E18+E21+E23+E25</f>
        <v>1928.4376531206997</v>
      </c>
      <c r="F26" s="21">
        <f>F18+F21+F23+F25</f>
        <v>2034.5017240423381</v>
      </c>
      <c r="G26" s="21">
        <f>G18+G21+G23+G25</f>
        <v>2146.3993188646659</v>
      </c>
      <c r="H26" s="21">
        <f>H18+H21+H23+H25</f>
        <v>2264.4512814022228</v>
      </c>
    </row>
    <row r="28" spans="2:9" x14ac:dyDescent="0.2">
      <c r="B28" s="6" t="s">
        <v>184</v>
      </c>
      <c r="C28" s="6"/>
      <c r="D28" s="6"/>
      <c r="E28" s="6"/>
      <c r="F28" s="6"/>
      <c r="G28" s="6"/>
      <c r="H28" s="6"/>
    </row>
    <row r="29" spans="2:9" x14ac:dyDescent="0.2">
      <c r="B29" s="5" t="s">
        <v>185</v>
      </c>
      <c r="D29" s="28">
        <f>Assumptions!$C$28</f>
        <v>6.4629218032199981E-2</v>
      </c>
      <c r="E29" s="28">
        <f>Assumptions!$C$28</f>
        <v>6.4629218032199981E-2</v>
      </c>
      <c r="F29" s="28">
        <f>Assumptions!$C$28</f>
        <v>6.4629218032199981E-2</v>
      </c>
      <c r="G29" s="28">
        <f>Assumptions!$C$28</f>
        <v>6.4629218032199981E-2</v>
      </c>
      <c r="H29" s="28">
        <f>Assumptions!$C$28</f>
        <v>6.4629218032199981E-2</v>
      </c>
    </row>
    <row r="30" spans="2:9" x14ac:dyDescent="0.2">
      <c r="B30" s="5" t="s">
        <v>186</v>
      </c>
      <c r="D30" s="29">
        <v>1</v>
      </c>
      <c r="E30" s="29">
        <v>2</v>
      </c>
      <c r="F30" s="29">
        <v>3</v>
      </c>
      <c r="G30" s="29">
        <v>4</v>
      </c>
      <c r="H30" s="29">
        <v>5</v>
      </c>
    </row>
    <row r="31" spans="2:9" x14ac:dyDescent="0.2">
      <c r="B31" s="5" t="s">
        <v>187</v>
      </c>
      <c r="D31" s="30">
        <f>1/(1+D29)^D30</f>
        <v>0.93929415336575406</v>
      </c>
      <c r="E31" s="30">
        <f>1/(1+E29)^E30</f>
        <v>0.8822735065470888</v>
      </c>
      <c r="F31" s="30">
        <f>1/(1+F29)^F30</f>
        <v>0.82871434636918284</v>
      </c>
      <c r="G31" s="30">
        <f>1/(1+G29)^G30</f>
        <v>0.77840654035489587</v>
      </c>
      <c r="H31" s="30">
        <f>1/(1+H29)^H30</f>
        <v>0.73115271229701762</v>
      </c>
    </row>
    <row r="32" spans="2:9" x14ac:dyDescent="0.2">
      <c r="B32" s="4" t="s">
        <v>188</v>
      </c>
      <c r="D32" s="11">
        <f>D26*D31</f>
        <v>1716.9385902432696</v>
      </c>
      <c r="E32" s="11">
        <f>E26*E31</f>
        <v>1701.4094503762383</v>
      </c>
      <c r="F32" s="11">
        <f>F26*F31</f>
        <v>1686.0207664267218</v>
      </c>
      <c r="G32" s="11">
        <f>G26*G31</f>
        <v>1670.7712680175496</v>
      </c>
      <c r="H32" s="11">
        <f>H26*H31</f>
        <v>1655.6596962616923</v>
      </c>
    </row>
    <row r="34" spans="2:9" x14ac:dyDescent="0.2">
      <c r="B34" s="6" t="s">
        <v>189</v>
      </c>
      <c r="C34" s="6"/>
      <c r="D34" s="6"/>
      <c r="E34" s="6"/>
      <c r="F34" s="6"/>
      <c r="G34" s="6"/>
      <c r="H34" s="6"/>
    </row>
    <row r="35" spans="2:9" x14ac:dyDescent="0.2">
      <c r="B35" s="5" t="s">
        <v>190</v>
      </c>
      <c r="E35" s="16">
        <v>2.5000000000000001E-2</v>
      </c>
    </row>
    <row r="36" spans="2:9" x14ac:dyDescent="0.2">
      <c r="B36" s="5" t="s">
        <v>191</v>
      </c>
      <c r="H36" s="22">
        <f>IFERROR(H26*(1+$E$35)/(Assumptions!$C$28-$E$35),0)</f>
        <v>58569.476731823022</v>
      </c>
    </row>
    <row r="37" spans="2:9" x14ac:dyDescent="0.2">
      <c r="B37" s="5" t="s">
        <v>192</v>
      </c>
      <c r="H37" s="11">
        <f>H36*H31</f>
        <v>42823.231770289465</v>
      </c>
    </row>
    <row r="39" spans="2:9" x14ac:dyDescent="0.2">
      <c r="B39" s="5" t="s">
        <v>193</v>
      </c>
      <c r="E39" s="26">
        <v>15</v>
      </c>
    </row>
    <row r="40" spans="2:9" x14ac:dyDescent="0.2">
      <c r="B40" s="5" t="s">
        <v>194</v>
      </c>
      <c r="H40" s="22">
        <f>H12*$E$39</f>
        <v>56618.922915341049</v>
      </c>
    </row>
    <row r="41" spans="2:9" x14ac:dyDescent="0.2">
      <c r="B41" s="5" t="s">
        <v>195</v>
      </c>
      <c r="H41" s="11">
        <f>H40*H31</f>
        <v>41397.079056887371</v>
      </c>
    </row>
    <row r="43" spans="2:9" x14ac:dyDescent="0.2">
      <c r="B43" s="6" t="s">
        <v>196</v>
      </c>
      <c r="C43" s="6"/>
      <c r="D43" s="6"/>
      <c r="E43" s="6"/>
      <c r="F43" s="6"/>
      <c r="G43" s="6"/>
      <c r="H43" s="6"/>
    </row>
    <row r="44" spans="2:9" x14ac:dyDescent="0.2">
      <c r="B44" s="5" t="s">
        <v>197</v>
      </c>
      <c r="C44" s="22">
        <f>SUM(D32:H32)</f>
        <v>8430.7997713254699</v>
      </c>
    </row>
    <row r="45" spans="2:9" x14ac:dyDescent="0.2">
      <c r="B45" s="4" t="s">
        <v>198</v>
      </c>
      <c r="C45" s="11">
        <f>C44+H37</f>
        <v>51254.031541614939</v>
      </c>
    </row>
    <row r="46" spans="2:9" x14ac:dyDescent="0.2">
      <c r="B46" s="4" t="s">
        <v>199</v>
      </c>
      <c r="C46" s="13">
        <f>C44+H41</f>
        <v>49827.878828212837</v>
      </c>
    </row>
    <row r="47" spans="2:9" x14ac:dyDescent="0.2">
      <c r="B47" s="5" t="s">
        <v>200</v>
      </c>
      <c r="C47" s="12">
        <f>-Assumptions!$C$15</f>
        <v>-3904.69</v>
      </c>
    </row>
    <row r="48" spans="2:9" x14ac:dyDescent="0.2">
      <c r="B48" s="4" t="s">
        <v>201</v>
      </c>
      <c r="C48" s="11">
        <f>C45+C47</f>
        <v>47349.341541614936</v>
      </c>
    </row>
    <row r="49" spans="2:3" x14ac:dyDescent="0.2">
      <c r="B49" s="4" t="s">
        <v>202</v>
      </c>
      <c r="C49" s="13">
        <f>C46+C47</f>
        <v>45923.188828212835</v>
      </c>
    </row>
    <row r="50" spans="2:3" x14ac:dyDescent="0.2">
      <c r="B50" s="5" t="s">
        <v>203</v>
      </c>
      <c r="C50" s="31">
        <f>Assumptions!$C$8</f>
        <v>203.4</v>
      </c>
    </row>
    <row r="51" spans="2:3" x14ac:dyDescent="0.2">
      <c r="B51" s="4" t="s">
        <v>204</v>
      </c>
      <c r="C51" s="32">
        <f>C48/C50</f>
        <v>232.78928978178433</v>
      </c>
    </row>
    <row r="52" spans="2:3" x14ac:dyDescent="0.2">
      <c r="B52" s="4" t="s">
        <v>205</v>
      </c>
      <c r="C52" s="33">
        <f>C49/C50</f>
        <v>225.77772285257046</v>
      </c>
    </row>
    <row r="53" spans="2:3" x14ac:dyDescent="0.2">
      <c r="B53" s="5" t="s">
        <v>206</v>
      </c>
      <c r="C53" s="34">
        <f>Assumptions!$C$6</f>
        <v>169.79</v>
      </c>
    </row>
    <row r="54" spans="2:3" x14ac:dyDescent="0.2">
      <c r="B54" s="4" t="s">
        <v>207</v>
      </c>
      <c r="C54" s="35">
        <f>C51/C53-1</f>
        <v>0.37104240403901501</v>
      </c>
    </row>
    <row r="55" spans="2:3" x14ac:dyDescent="0.2">
      <c r="B55" s="4" t="s">
        <v>208</v>
      </c>
      <c r="C55" s="36">
        <f>C52/C53-1</f>
        <v>0.32974688057347601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H62"/>
  <sheetViews>
    <sheetView showGridLines="0" zoomScaleNormal="100" workbookViewId="0">
      <pane xSplit="2" ySplit="5" topLeftCell="C32" activePane="bottomRight" state="frozen"/>
      <selection pane="topRight" activeCell="C1" sqref="C1"/>
      <selection pane="bottomLeft" activeCell="A6" sqref="A6"/>
      <selection pane="bottomRight" activeCell="J60" sqref="J60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8" width="13" customWidth="1"/>
    <col min="9" max="9" width="3" customWidth="1"/>
  </cols>
  <sheetData>
    <row r="2" spans="2:8" ht="20" x14ac:dyDescent="0.2">
      <c r="B2" s="2" t="s">
        <v>209</v>
      </c>
    </row>
    <row r="3" spans="2:8" x14ac:dyDescent="0.2">
      <c r="B3" s="3" t="s">
        <v>210</v>
      </c>
    </row>
    <row r="5" spans="2:8" ht="18" customHeight="1" x14ac:dyDescent="0.2">
      <c r="B5" s="18"/>
      <c r="C5" s="19" t="s">
        <v>211</v>
      </c>
      <c r="D5" s="19" t="s">
        <v>212</v>
      </c>
      <c r="E5" s="19" t="s">
        <v>213</v>
      </c>
      <c r="F5" s="19" t="s">
        <v>214</v>
      </c>
      <c r="G5" s="19" t="s">
        <v>215</v>
      </c>
      <c r="H5" s="19" t="s">
        <v>216</v>
      </c>
    </row>
    <row r="6" spans="2:8" x14ac:dyDescent="0.2">
      <c r="B6" s="6" t="s">
        <v>217</v>
      </c>
      <c r="C6" s="6"/>
      <c r="D6" s="6"/>
      <c r="E6" s="6"/>
      <c r="F6" s="6"/>
      <c r="G6" s="6"/>
      <c r="H6" s="6"/>
    </row>
    <row r="7" spans="2:8" x14ac:dyDescent="0.2">
      <c r="B7" s="5" t="s">
        <v>218</v>
      </c>
      <c r="C7" s="12">
        <f>'Income Statement'!F27</f>
        <v>1945.5000000000009</v>
      </c>
    </row>
    <row r="8" spans="2:8" x14ac:dyDescent="0.2">
      <c r="B8" s="5" t="s">
        <v>219</v>
      </c>
      <c r="C8" s="26">
        <v>19</v>
      </c>
    </row>
    <row r="9" spans="2:8" x14ac:dyDescent="0.2">
      <c r="B9" s="4" t="s">
        <v>220</v>
      </c>
      <c r="C9" s="11">
        <f>C7*C8</f>
        <v>36964.500000000015</v>
      </c>
    </row>
    <row r="10" spans="2:8" x14ac:dyDescent="0.2">
      <c r="B10" s="5" t="s">
        <v>221</v>
      </c>
      <c r="C10" s="37">
        <v>4.0000000000000001E-3</v>
      </c>
    </row>
    <row r="11" spans="2:8" x14ac:dyDescent="0.2">
      <c r="B11" s="5" t="s">
        <v>222</v>
      </c>
      <c r="C11" s="22">
        <f>C9*C10</f>
        <v>147.85800000000006</v>
      </c>
    </row>
    <row r="13" spans="2:8" x14ac:dyDescent="0.2">
      <c r="B13" s="6" t="s">
        <v>223</v>
      </c>
      <c r="C13" s="6"/>
      <c r="D13" s="6"/>
      <c r="E13" s="6"/>
      <c r="F13" s="6"/>
      <c r="G13" s="6"/>
      <c r="H13" s="6"/>
    </row>
    <row r="14" spans="2:8" x14ac:dyDescent="0.2">
      <c r="B14" s="5" t="s">
        <v>224</v>
      </c>
      <c r="C14" s="22">
        <f>C9</f>
        <v>36964.500000000015</v>
      </c>
    </row>
    <row r="15" spans="2:8" x14ac:dyDescent="0.2">
      <c r="B15" s="5" t="s">
        <v>225</v>
      </c>
      <c r="C15" s="22">
        <f>C11</f>
        <v>147.85800000000006</v>
      </c>
    </row>
    <row r="16" spans="2:8" x14ac:dyDescent="0.2">
      <c r="B16" s="4" t="s">
        <v>226</v>
      </c>
      <c r="C16" s="11">
        <f>C14+C15</f>
        <v>37112.358000000015</v>
      </c>
    </row>
    <row r="18" spans="2:8" x14ac:dyDescent="0.2">
      <c r="B18" s="5" t="s">
        <v>227</v>
      </c>
      <c r="C18" s="26">
        <v>4</v>
      </c>
    </row>
    <row r="19" spans="2:8" x14ac:dyDescent="0.2">
      <c r="B19" s="5" t="s">
        <v>228</v>
      </c>
      <c r="C19" s="22">
        <f>C7*C18</f>
        <v>7782.0000000000036</v>
      </c>
    </row>
    <row r="20" spans="2:8" x14ac:dyDescent="0.2">
      <c r="B20" s="4" t="s">
        <v>229</v>
      </c>
      <c r="C20" s="11">
        <f>C16-C19</f>
        <v>29330.358000000011</v>
      </c>
    </row>
    <row r="21" spans="2:8" x14ac:dyDescent="0.2">
      <c r="B21" s="5" t="s">
        <v>230</v>
      </c>
      <c r="C21" s="22">
        <f>C19+C20</f>
        <v>37112.358000000015</v>
      </c>
    </row>
    <row r="23" spans="2:8" x14ac:dyDescent="0.2">
      <c r="B23" s="6" t="s">
        <v>231</v>
      </c>
      <c r="C23" s="6"/>
      <c r="D23" s="6"/>
      <c r="E23" s="6"/>
      <c r="F23" s="6"/>
      <c r="G23" s="6"/>
      <c r="H23" s="6"/>
    </row>
    <row r="24" spans="2:8" x14ac:dyDescent="0.2">
      <c r="B24" s="5" t="s">
        <v>232</v>
      </c>
      <c r="C24" s="16">
        <v>0.10249999999999999</v>
      </c>
    </row>
    <row r="25" spans="2:8" x14ac:dyDescent="0.2">
      <c r="B25" s="5" t="s">
        <v>233</v>
      </c>
      <c r="C25" s="28">
        <f>Assumptions!$C$24</f>
        <v>0.16500000000000001</v>
      </c>
    </row>
    <row r="26" spans="2:8" x14ac:dyDescent="0.2">
      <c r="B26" s="5" t="s">
        <v>234</v>
      </c>
      <c r="C26" s="16">
        <v>0.2175</v>
      </c>
    </row>
    <row r="27" spans="2:8" x14ac:dyDescent="0.2">
      <c r="B27" s="5" t="s">
        <v>235</v>
      </c>
      <c r="C27" s="16">
        <v>4.1200000000000001E-2</v>
      </c>
    </row>
    <row r="28" spans="2:8" x14ac:dyDescent="0.2">
      <c r="B28" s="5" t="s">
        <v>236</v>
      </c>
      <c r="C28" s="16">
        <v>0.03</v>
      </c>
    </row>
    <row r="29" spans="2:8" x14ac:dyDescent="0.2">
      <c r="B29" s="5" t="s">
        <v>237</v>
      </c>
      <c r="C29" s="16">
        <v>0.7</v>
      </c>
    </row>
    <row r="31" spans="2:8" x14ac:dyDescent="0.2">
      <c r="B31" s="6" t="s">
        <v>238</v>
      </c>
      <c r="C31" s="6"/>
      <c r="D31" s="6"/>
      <c r="E31" s="6"/>
      <c r="F31" s="6"/>
      <c r="G31" s="6"/>
      <c r="H31" s="6"/>
    </row>
    <row r="32" spans="2:8" x14ac:dyDescent="0.2">
      <c r="B32" s="5" t="s">
        <v>239</v>
      </c>
      <c r="D32" s="16">
        <v>0.06</v>
      </c>
      <c r="E32" s="16">
        <v>0.06</v>
      </c>
      <c r="F32" s="16">
        <v>0.06</v>
      </c>
      <c r="G32" s="16">
        <v>0.06</v>
      </c>
      <c r="H32" s="16">
        <v>0.06</v>
      </c>
    </row>
    <row r="33" spans="2:8" x14ac:dyDescent="0.2">
      <c r="B33" s="4" t="s">
        <v>170</v>
      </c>
      <c r="C33" s="11">
        <f>C7</f>
        <v>1945.5000000000009</v>
      </c>
      <c r="D33" s="11">
        <f>C33*(1+D32)</f>
        <v>2062.2300000000009</v>
      </c>
      <c r="E33" s="11">
        <f>D33*(1+E32)</f>
        <v>2185.9638000000009</v>
      </c>
      <c r="F33" s="11">
        <f>E33*(1+F32)</f>
        <v>2317.1216280000012</v>
      </c>
      <c r="G33" s="11">
        <f>F33*(1+G32)</f>
        <v>2456.1489256800014</v>
      </c>
      <c r="H33" s="11">
        <f>G33*(1+H32)</f>
        <v>2603.5178612208015</v>
      </c>
    </row>
    <row r="35" spans="2:8" x14ac:dyDescent="0.2">
      <c r="B35" s="6" t="s">
        <v>240</v>
      </c>
      <c r="C35" s="6"/>
      <c r="D35" s="6"/>
      <c r="E35" s="6"/>
      <c r="F35" s="6"/>
      <c r="G35" s="6"/>
      <c r="H35" s="6"/>
    </row>
    <row r="36" spans="2:8" x14ac:dyDescent="0.2">
      <c r="B36" s="5" t="s">
        <v>170</v>
      </c>
      <c r="D36" s="22">
        <f>D33</f>
        <v>2062.2300000000009</v>
      </c>
      <c r="E36" s="22">
        <f>E33</f>
        <v>2185.9638000000009</v>
      </c>
      <c r="F36" s="22">
        <f>F33</f>
        <v>2317.1216280000012</v>
      </c>
      <c r="G36" s="22">
        <f>G33</f>
        <v>2456.1489256800014</v>
      </c>
      <c r="H36" s="22">
        <f>H33</f>
        <v>2603.5178612208015</v>
      </c>
    </row>
    <row r="37" spans="2:8" x14ac:dyDescent="0.2">
      <c r="B37" s="5" t="s">
        <v>241</v>
      </c>
      <c r="D37" s="22">
        <f>-D33*$C$26</f>
        <v>-448.53502500000019</v>
      </c>
      <c r="E37" s="22">
        <f>-E33*$C$26</f>
        <v>-475.44712650000019</v>
      </c>
      <c r="F37" s="22">
        <f>-F33*$C$26</f>
        <v>-503.97395409000029</v>
      </c>
      <c r="G37" s="22">
        <f>-G33*$C$26</f>
        <v>-534.2123913354003</v>
      </c>
      <c r="H37" s="22">
        <f>-H33*$C$26</f>
        <v>-566.26513481552433</v>
      </c>
    </row>
    <row r="38" spans="2:8" x14ac:dyDescent="0.2">
      <c r="B38" s="5" t="s">
        <v>242</v>
      </c>
      <c r="D38" s="22">
        <f>-D45*$C$24</f>
        <v>-797.65500000000031</v>
      </c>
      <c r="E38" s="22">
        <f>-E45*$C$24</f>
        <v>-746.67642206378662</v>
      </c>
      <c r="F38" s="22">
        <f>-F45*$C$24</f>
        <v>-687.14836233689402</v>
      </c>
      <c r="G38" s="22">
        <f>-G45*$C$24</f>
        <v>-618.22889319059288</v>
      </c>
      <c r="H38" s="22">
        <f>-H45*$C$24</f>
        <v>-539.00586301023907</v>
      </c>
    </row>
    <row r="39" spans="2:8" x14ac:dyDescent="0.2">
      <c r="B39" s="5" t="s">
        <v>243</v>
      </c>
      <c r="D39" s="22">
        <f>-D33*$C$27</f>
        <v>-84.963876000000042</v>
      </c>
      <c r="E39" s="22">
        <f>-E33*$C$27</f>
        <v>-90.061708560000042</v>
      </c>
      <c r="F39" s="22">
        <f>-F33*$C$27</f>
        <v>-95.465411073600052</v>
      </c>
      <c r="G39" s="22">
        <f>-G33*$C$27</f>
        <v>-101.19333573801606</v>
      </c>
      <c r="H39" s="22">
        <f>-H33*$C$27</f>
        <v>-107.26493588229702</v>
      </c>
    </row>
    <row r="40" spans="2:8" x14ac:dyDescent="0.2">
      <c r="B40" s="5" t="s">
        <v>244</v>
      </c>
      <c r="D40" s="38">
        <f>D36+D37+D38+D39</f>
        <v>731.07609900000045</v>
      </c>
      <c r="E40" s="38">
        <f>E36+E37+E38+E39</f>
        <v>873.77854287621403</v>
      </c>
      <c r="F40" s="38">
        <f>F36+F37+F38+F39</f>
        <v>1030.5339004995069</v>
      </c>
      <c r="G40" s="38">
        <f>G36+G37+G38+G39</f>
        <v>1202.5143054159923</v>
      </c>
      <c r="H40" s="38">
        <f>H36+H37+H38+H39</f>
        <v>1390.9819275127409</v>
      </c>
    </row>
    <row r="41" spans="2:8" x14ac:dyDescent="0.2">
      <c r="B41" s="5" t="s">
        <v>245</v>
      </c>
      <c r="D41" s="22">
        <f>-MAX(0,D40)*$C$25</f>
        <v>-120.62755633500008</v>
      </c>
      <c r="E41" s="22">
        <f>-MAX(0,E40)*$C$25</f>
        <v>-144.17345957457533</v>
      </c>
      <c r="F41" s="22">
        <f>-MAX(0,F40)*$C$25</f>
        <v>-170.03809358241864</v>
      </c>
      <c r="G41" s="22">
        <f>-MAX(0,G40)*$C$25</f>
        <v>-198.41486039363875</v>
      </c>
      <c r="H41" s="22">
        <f>-MAX(0,H40)*$C$25</f>
        <v>-229.51201803960225</v>
      </c>
    </row>
    <row r="42" spans="2:8" x14ac:dyDescent="0.2">
      <c r="B42" s="4" t="s">
        <v>246</v>
      </c>
      <c r="D42" s="11">
        <f>D40+D41</f>
        <v>610.44854266500033</v>
      </c>
      <c r="E42" s="11">
        <f>E40+E41</f>
        <v>729.60508330163873</v>
      </c>
      <c r="F42" s="11">
        <f>F40+F41</f>
        <v>860.4958069170882</v>
      </c>
      <c r="G42" s="11">
        <f>G40+G41</f>
        <v>1004.0994450223536</v>
      </c>
      <c r="H42" s="11">
        <f>H40+H41</f>
        <v>1161.4699094731386</v>
      </c>
    </row>
    <row r="44" spans="2:8" x14ac:dyDescent="0.2">
      <c r="B44" s="6" t="s">
        <v>247</v>
      </c>
      <c r="C44" s="6"/>
      <c r="D44" s="6"/>
      <c r="E44" s="6"/>
      <c r="F44" s="6"/>
      <c r="G44" s="6"/>
      <c r="H44" s="6"/>
    </row>
    <row r="45" spans="2:8" x14ac:dyDescent="0.2">
      <c r="B45" s="5" t="s">
        <v>248</v>
      </c>
      <c r="C45" s="22">
        <f>C19</f>
        <v>7782.0000000000036</v>
      </c>
      <c r="D45" s="22">
        <f>C19</f>
        <v>7782.0000000000036</v>
      </c>
      <c r="E45" s="22">
        <f>D48</f>
        <v>7284.6480201345039</v>
      </c>
      <c r="F45" s="22">
        <f>E48</f>
        <v>6703.8864618233565</v>
      </c>
      <c r="G45" s="22">
        <f>F48</f>
        <v>6031.5013969813945</v>
      </c>
      <c r="H45" s="22">
        <f>G48</f>
        <v>5258.5937854657468</v>
      </c>
    </row>
    <row r="46" spans="2:8" x14ac:dyDescent="0.2">
      <c r="B46" s="5" t="s">
        <v>249</v>
      </c>
      <c r="D46" s="22">
        <f>-MIN($C$19*$C$28,D45)</f>
        <v>-233.46000000000009</v>
      </c>
      <c r="E46" s="22">
        <f>-MIN($C$19*$C$28,E45)</f>
        <v>-233.46000000000009</v>
      </c>
      <c r="F46" s="22">
        <f>-MIN($C$19*$C$28,F45)</f>
        <v>-233.46000000000009</v>
      </c>
      <c r="G46" s="22">
        <f>-MIN($C$19*$C$28,G45)</f>
        <v>-233.46000000000009</v>
      </c>
      <c r="H46" s="22">
        <f>-MIN($C$19*$C$28,H45)</f>
        <v>-233.46000000000009</v>
      </c>
    </row>
    <row r="47" spans="2:8" x14ac:dyDescent="0.2">
      <c r="B47" s="5" t="s">
        <v>250</v>
      </c>
      <c r="D47" s="22">
        <f>-MIN(MAX(0,D42+D46)*$C$29,D45+D46)</f>
        <v>-263.89197986550016</v>
      </c>
      <c r="E47" s="22">
        <f>-MIN(MAX(0,E42+E46)*$C$29,E45+E46)</f>
        <v>-347.30155831114701</v>
      </c>
      <c r="F47" s="22">
        <f>-MIN(MAX(0,F42+F46)*$C$29,F45+F46)</f>
        <v>-438.92506484196167</v>
      </c>
      <c r="G47" s="22">
        <f>-MIN(MAX(0,G42+G46)*$C$29,G45+G46)</f>
        <v>-539.44761151564751</v>
      </c>
      <c r="H47" s="22">
        <f>-MIN(MAX(0,H42+H46)*$C$29,H45+H46)</f>
        <v>-649.60693663119696</v>
      </c>
    </row>
    <row r="48" spans="2:8" x14ac:dyDescent="0.2">
      <c r="B48" s="4" t="s">
        <v>251</v>
      </c>
      <c r="D48" s="11">
        <f>MAX(0,D45+D46+D47)</f>
        <v>7284.6480201345039</v>
      </c>
      <c r="E48" s="11">
        <f>MAX(0,E45+E46+E47)</f>
        <v>6703.8864618233565</v>
      </c>
      <c r="F48" s="11">
        <f>MAX(0,F45+F46+F47)</f>
        <v>6031.5013969813945</v>
      </c>
      <c r="G48" s="11">
        <f>MAX(0,G45+G46+G47)</f>
        <v>5258.5937854657468</v>
      </c>
      <c r="H48" s="11">
        <f>MAX(0,H45+H46+H47)</f>
        <v>4375.52684883455</v>
      </c>
    </row>
    <row r="50" spans="2:8" x14ac:dyDescent="0.2">
      <c r="B50" s="6" t="s">
        <v>252</v>
      </c>
      <c r="C50" s="6"/>
      <c r="D50" s="6"/>
      <c r="E50" s="6"/>
      <c r="F50" s="6"/>
      <c r="G50" s="6"/>
      <c r="H50" s="6"/>
    </row>
    <row r="51" spans="2:8" x14ac:dyDescent="0.2">
      <c r="B51" s="5" t="s">
        <v>253</v>
      </c>
      <c r="H51" s="26">
        <v>21</v>
      </c>
    </row>
    <row r="52" spans="2:8" x14ac:dyDescent="0.2">
      <c r="B52" s="5" t="s">
        <v>254</v>
      </c>
      <c r="H52" s="22">
        <f>H33</f>
        <v>2603.5178612208015</v>
      </c>
    </row>
    <row r="53" spans="2:8" x14ac:dyDescent="0.2">
      <c r="B53" s="4" t="s">
        <v>255</v>
      </c>
      <c r="H53" s="11">
        <f>H52*H51</f>
        <v>54673.875085636828</v>
      </c>
    </row>
    <row r="54" spans="2:8" x14ac:dyDescent="0.2">
      <c r="B54" s="5" t="s">
        <v>256</v>
      </c>
      <c r="H54" s="22">
        <f>-H48</f>
        <v>-4375.52684883455</v>
      </c>
    </row>
    <row r="55" spans="2:8" x14ac:dyDescent="0.2">
      <c r="B55" s="4" t="s">
        <v>257</v>
      </c>
      <c r="H55" s="11">
        <f>H53+H54</f>
        <v>50298.348236802281</v>
      </c>
    </row>
    <row r="57" spans="2:8" x14ac:dyDescent="0.2">
      <c r="B57" s="6" t="s">
        <v>258</v>
      </c>
      <c r="C57" s="6"/>
      <c r="D57" s="6"/>
      <c r="E57" s="6"/>
      <c r="F57" s="6"/>
      <c r="G57" s="6"/>
      <c r="H57" s="6"/>
    </row>
    <row r="58" spans="2:8" x14ac:dyDescent="0.2">
      <c r="B58" s="5" t="s">
        <v>259</v>
      </c>
      <c r="C58" s="22">
        <f>C20</f>
        <v>29330.358000000011</v>
      </c>
    </row>
    <row r="59" spans="2:8" x14ac:dyDescent="0.2">
      <c r="B59" s="5" t="s">
        <v>260</v>
      </c>
      <c r="C59" s="22">
        <f>H55</f>
        <v>50298.348236802281</v>
      </c>
    </row>
    <row r="60" spans="2:8" x14ac:dyDescent="0.2">
      <c r="B60" s="5" t="s">
        <v>261</v>
      </c>
      <c r="C60" s="29">
        <v>5</v>
      </c>
    </row>
    <row r="61" spans="2:8" x14ac:dyDescent="0.2">
      <c r="B61" s="4" t="s">
        <v>262</v>
      </c>
      <c r="C61" s="39">
        <f>IFERROR(C59/C58,0)</f>
        <v>1.7148903616110742</v>
      </c>
    </row>
    <row r="62" spans="2:8" x14ac:dyDescent="0.2">
      <c r="B62" s="4" t="s">
        <v>263</v>
      </c>
      <c r="C62" s="36">
        <f>IFERROR((C59/C58)^(1/C60)-1,0)</f>
        <v>0.11390273911455995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&amp; Instructions</vt:lpstr>
      <vt:lpstr>Assumptions</vt:lpstr>
      <vt:lpstr>Income Statement</vt:lpstr>
      <vt:lpstr>Balance Sheet</vt:lpstr>
      <vt:lpstr>Cash Flow Statement</vt:lpstr>
      <vt:lpstr>DCF Model</vt:lpstr>
      <vt:lpstr>LBO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Baran, Solomon Robert</cp:lastModifiedBy>
  <cp:revision>0</cp:revision>
  <dcterms:created xsi:type="dcterms:W3CDTF">2026-09-20T18:15:12Z</dcterms:created>
  <dcterms:modified xsi:type="dcterms:W3CDTF">2026-09-21T13:13:34Z</dcterms:modified>
  <dc:language>en-US</dc:language>
</cp:coreProperties>
</file>