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mc:AlternateContent xmlns:mc="http://schemas.openxmlformats.org/markup-compatibility/2006">
    <mc:Choice Requires="x15">
      <x15ac:absPath xmlns:x15ac="http://schemas.microsoft.com/office/spreadsheetml/2010/11/ac" url="/Users/sol/Downloads/"/>
    </mc:Choice>
  </mc:AlternateContent>
  <xr:revisionPtr revIDLastSave="0" documentId="8_{485644BB-564F-F649-944D-96F880A8E5FE}" xr6:coauthVersionLast="47" xr6:coauthVersionMax="47" xr10:uidLastSave="{00000000-0000-0000-0000-000000000000}"/>
  <workbookProtection workbookAlgorithmName="SHA-512" workbookHashValue="jjKyHY6swwOcjzbBTuR+IGS2raYinrNkEFcNqgxKBAl7VSF/cs86D3koD32aA4gWyOnDqodlAgtk6T3DyLu9SQ==" workbookSaltValue="B/J0Jbp1Eq4Mwi4cV76Xwg==" workbookSpinCount="100000" lockStructure="1"/>
  <bookViews>
    <workbookView xWindow="0" yWindow="0" windowWidth="28800" windowHeight="18000" tabRatio="685" activeTab="1" xr2:uid="{5F141CAC-DE77-4535-A101-6F03B64064EC}"/>
  </bookViews>
  <sheets>
    <sheet name="Introduction" sheetId="2" r:id="rId1"/>
    <sheet name="Income Statement Assumptions" sheetId="6" r:id="rId2"/>
    <sheet name="Simple Operating Model" sheetId="1" r:id="rId3"/>
    <sheet name="CONDFORM 1" sheetId="10" state="hidden" r:id="rId4"/>
    <sheet name="CONDFORM" sheetId="9" state="hidden" r:id="rId5"/>
    <sheet name="52 weeks share price data" sheetId="13" r:id="rId6"/>
    <sheet name="Grading" sheetId="11" state="hidden" r:id="rId7"/>
  </sheets>
  <definedNames>
    <definedName name="_xlchart.v1.0" hidden="1">'Simple Operating Model'!$D$150:$D$155</definedName>
    <definedName name="_xlchart.v1.1" hidden="1">'Simple Operating Model'!$E$148:$E$149</definedName>
    <definedName name="_xlchart.v1.10" hidden="1">'Simple Operating Model'!$E$148:$E$149</definedName>
    <definedName name="_xlchart.v1.11" hidden="1">'Simple Operating Model'!$E$150:$E$155</definedName>
    <definedName name="_xlchart.v1.12" hidden="1">'Simple Operating Model'!$F$148:$F$149</definedName>
    <definedName name="_xlchart.v1.13" hidden="1">'Simple Operating Model'!$F$150:$F$155</definedName>
    <definedName name="_xlchart.v1.14" hidden="1">'Simple Operating Model'!$G$148:$G$149</definedName>
    <definedName name="_xlchart.v1.15" hidden="1">'Simple Operating Model'!$G$150:$G$155</definedName>
    <definedName name="_xlchart.v1.16" hidden="1">'Simple Operating Model'!$H$148:$H$149</definedName>
    <definedName name="_xlchart.v1.17" hidden="1">'Simple Operating Model'!$H$150:$H$155</definedName>
    <definedName name="_xlchart.v1.18" hidden="1">'Simple Operating Model'!$D$150:$D$155</definedName>
    <definedName name="_xlchart.v1.19" hidden="1">'Simple Operating Model'!$E$148:$E$149</definedName>
    <definedName name="_xlchart.v1.2" hidden="1">'Simple Operating Model'!$E$150:$E$155</definedName>
    <definedName name="_xlchart.v1.20" hidden="1">'Simple Operating Model'!$E$150:$E$155</definedName>
    <definedName name="_xlchart.v1.21" hidden="1">'Simple Operating Model'!$F$148:$F$149</definedName>
    <definedName name="_xlchart.v1.22" hidden="1">'Simple Operating Model'!$F$150:$F$155</definedName>
    <definedName name="_xlchart.v1.23" hidden="1">'Simple Operating Model'!$G$148:$G$149</definedName>
    <definedName name="_xlchart.v1.24" hidden="1">'Simple Operating Model'!$G$150:$G$155</definedName>
    <definedName name="_xlchart.v1.25" hidden="1">'Simple Operating Model'!$H$148:$H$149</definedName>
    <definedName name="_xlchart.v1.26" hidden="1">'Simple Operating Model'!$H$150:$H$155</definedName>
    <definedName name="_xlchart.v1.27" hidden="1">'Simple Operating Model'!$D$150:$D$155</definedName>
    <definedName name="_xlchart.v1.28" hidden="1">'Simple Operating Model'!$E$148:$E$149</definedName>
    <definedName name="_xlchart.v1.29" hidden="1">'Simple Operating Model'!$E$150:$E$155</definedName>
    <definedName name="_xlchart.v1.3" hidden="1">'Simple Operating Model'!$F$148:$F$149</definedName>
    <definedName name="_xlchart.v1.30" hidden="1">'Simple Operating Model'!$F$148:$F$149</definedName>
    <definedName name="_xlchart.v1.31" hidden="1">'Simple Operating Model'!$F$150:$F$155</definedName>
    <definedName name="_xlchart.v1.32" hidden="1">'Simple Operating Model'!$G$148:$G$149</definedName>
    <definedName name="_xlchart.v1.33" hidden="1">'Simple Operating Model'!$G$150:$G$155</definedName>
    <definedName name="_xlchart.v1.34" hidden="1">'Simple Operating Model'!$H$148:$H$149</definedName>
    <definedName name="_xlchart.v1.35" hidden="1">'Simple Operating Model'!$H$150:$H$155</definedName>
    <definedName name="_xlchart.v1.36" hidden="1">'Simple Operating Model'!$D$150:$D$155</definedName>
    <definedName name="_xlchart.v1.37" hidden="1">'Simple Operating Model'!$E$148:$E$149</definedName>
    <definedName name="_xlchart.v1.38" hidden="1">'Simple Operating Model'!$E$150:$E$155</definedName>
    <definedName name="_xlchart.v1.39" hidden="1">'Simple Operating Model'!$F$148:$F$149</definedName>
    <definedName name="_xlchart.v1.4" hidden="1">'Simple Operating Model'!$F$150:$F$155</definedName>
    <definedName name="_xlchart.v1.40" hidden="1">'Simple Operating Model'!$F$150:$F$155</definedName>
    <definedName name="_xlchart.v1.41" hidden="1">'Simple Operating Model'!$G$148:$G$149</definedName>
    <definedName name="_xlchart.v1.42" hidden="1">'Simple Operating Model'!$G$150:$G$155</definedName>
    <definedName name="_xlchart.v1.43" hidden="1">'Simple Operating Model'!$H$148:$H$149</definedName>
    <definedName name="_xlchart.v1.44" hidden="1">'Simple Operating Model'!$H$150:$H$155</definedName>
    <definedName name="_xlchart.v1.45" hidden="1">'Simple Operating Model'!$D$150:$D$155</definedName>
    <definedName name="_xlchart.v1.46" hidden="1">'Simple Operating Model'!$E$148:$E$149</definedName>
    <definedName name="_xlchart.v1.47" hidden="1">'Simple Operating Model'!$E$150:$E$155</definedName>
    <definedName name="_xlchart.v1.48" hidden="1">'Simple Operating Model'!$F$148:$F$149</definedName>
    <definedName name="_xlchart.v1.49" hidden="1">'Simple Operating Model'!$F$150:$F$155</definedName>
    <definedName name="_xlchart.v1.5" hidden="1">'Simple Operating Model'!$G$148:$G$149</definedName>
    <definedName name="_xlchart.v1.50" hidden="1">'Simple Operating Model'!$G$148:$G$149</definedName>
    <definedName name="_xlchart.v1.51" hidden="1">'Simple Operating Model'!$G$150:$G$155</definedName>
    <definedName name="_xlchart.v1.52" hidden="1">'Simple Operating Model'!$H$148:$H$149</definedName>
    <definedName name="_xlchart.v1.53" hidden="1">'Simple Operating Model'!$H$150:$H$155</definedName>
    <definedName name="_xlchart.v1.54" hidden="1">'Simple Operating Model'!$D$150:$D$155</definedName>
    <definedName name="_xlchart.v1.55" hidden="1">'Simple Operating Model'!$E$148:$E$149</definedName>
    <definedName name="_xlchart.v1.56" hidden="1">'Simple Operating Model'!$E$150:$E$155</definedName>
    <definedName name="_xlchart.v1.57" hidden="1">'Simple Operating Model'!$F$148:$F$149</definedName>
    <definedName name="_xlchart.v1.58" hidden="1">'Simple Operating Model'!$F$150:$F$155</definedName>
    <definedName name="_xlchart.v1.59" hidden="1">'Simple Operating Model'!$G$148:$G$149</definedName>
    <definedName name="_xlchart.v1.6" hidden="1">'Simple Operating Model'!$G$150:$G$155</definedName>
    <definedName name="_xlchart.v1.60" hidden="1">'Simple Operating Model'!$G$150:$G$155</definedName>
    <definedName name="_xlchart.v1.61" hidden="1">'Simple Operating Model'!$H$148:$H$149</definedName>
    <definedName name="_xlchart.v1.62" hidden="1">'Simple Operating Model'!$H$150:$H$155</definedName>
    <definedName name="_xlchart.v1.63" hidden="1">'Simple Operating Model'!$D$150:$D$155</definedName>
    <definedName name="_xlchart.v1.64" hidden="1">'Simple Operating Model'!$E$148:$E$149</definedName>
    <definedName name="_xlchart.v1.65" hidden="1">'Simple Operating Model'!$E$150:$E$155</definedName>
    <definedName name="_xlchart.v1.66" hidden="1">'Simple Operating Model'!$F$148:$F$149</definedName>
    <definedName name="_xlchart.v1.67" hidden="1">'Simple Operating Model'!$F$150:$F$155</definedName>
    <definedName name="_xlchart.v1.68" hidden="1">'Simple Operating Model'!$G$148:$G$149</definedName>
    <definedName name="_xlchart.v1.69" hidden="1">'Simple Operating Model'!$G$150:$G$155</definedName>
    <definedName name="_xlchart.v1.7" hidden="1">'Simple Operating Model'!$H$148:$H$149</definedName>
    <definedName name="_xlchart.v1.70" hidden="1">'Simple Operating Model'!$H$148:$H$149</definedName>
    <definedName name="_xlchart.v1.71" hidden="1">'Simple Operating Model'!$H$150:$H$155</definedName>
    <definedName name="_xlchart.v1.72" hidden="1">'Simple Operating Model'!$D$150:$D$155</definedName>
    <definedName name="_xlchart.v1.73" hidden="1">'Simple Operating Model'!$E$148:$E$149</definedName>
    <definedName name="_xlchart.v1.74" hidden="1">'Simple Operating Model'!$E$150:$E$155</definedName>
    <definedName name="_xlchart.v1.75" hidden="1">'Simple Operating Model'!$F$148:$F$149</definedName>
    <definedName name="_xlchart.v1.76" hidden="1">'Simple Operating Model'!$F$150:$F$155</definedName>
    <definedName name="_xlchart.v1.77" hidden="1">'Simple Operating Model'!$G$148:$G$149</definedName>
    <definedName name="_xlchart.v1.78" hidden="1">'Simple Operating Model'!$G$150:$G$155</definedName>
    <definedName name="_xlchart.v1.79" hidden="1">'Simple Operating Model'!$H$148:$H$149</definedName>
    <definedName name="_xlchart.v1.8" hidden="1">'Simple Operating Model'!$H$150:$H$155</definedName>
    <definedName name="_xlchart.v1.80" hidden="1">'Simple Operating Model'!$H$150:$H$155</definedName>
    <definedName name="_xlchart.v1.9" hidden="1">'Simple Operating Model'!$D$150:$D$155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45207.8744097222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1" i="1" l="1" a="1"/>
  <c r="F151" i="1" a="1"/>
  <c r="H155" i="1"/>
  <c r="H154" i="1"/>
  <c r="H153" i="1"/>
  <c r="F155" i="1"/>
  <c r="F154" i="1"/>
  <c r="F153" i="1"/>
  <c r="H152" i="1"/>
  <c r="F152" i="1"/>
  <c r="L142" i="1"/>
  <c r="M142" i="1"/>
  <c r="N142" i="1"/>
  <c r="K142" i="1"/>
  <c r="L141" i="1"/>
  <c r="M141" i="1"/>
  <c r="N141" i="1"/>
  <c r="K141" i="1"/>
  <c r="L140" i="1"/>
  <c r="M140" i="1"/>
  <c r="N140" i="1"/>
  <c r="K140" i="1"/>
  <c r="L139" i="1"/>
  <c r="M139" i="1"/>
  <c r="N139" i="1"/>
  <c r="K139" i="1"/>
  <c r="H150" i="1"/>
  <c r="F150" i="1"/>
  <c r="N115" i="1"/>
  <c r="N114" i="1"/>
  <c r="K117" i="1"/>
  <c r="J117" i="1"/>
  <c r="K116" i="1"/>
  <c r="J116" i="1"/>
  <c r="G120" i="1"/>
  <c r="H103" i="1"/>
  <c r="H100" i="1"/>
  <c r="E102" i="1"/>
  <c r="E100" i="1"/>
  <c r="E96" i="1"/>
  <c r="E95" i="1"/>
  <c r="E94" i="1"/>
  <c r="K81" i="1"/>
  <c r="L81" i="1"/>
  <c r="M81" i="1"/>
  <c r="N81" i="1"/>
  <c r="J81" i="1"/>
  <c r="K79" i="1"/>
  <c r="L79" i="1"/>
  <c r="M79" i="1"/>
  <c r="N79" i="1"/>
  <c r="J79" i="1"/>
  <c r="F60" i="1"/>
  <c r="F53" i="1"/>
  <c r="F49" i="1"/>
  <c r="N29" i="1"/>
  <c r="L27" i="1"/>
  <c r="K22" i="1"/>
  <c r="M17" i="1"/>
  <c r="J15" i="1"/>
  <c r="L10" i="1"/>
  <c r="M40" i="6"/>
  <c r="J40" i="6"/>
  <c r="K40" i="6"/>
  <c r="L40" i="6"/>
  <c r="I40" i="6"/>
  <c r="J39" i="6"/>
  <c r="K39" i="6"/>
  <c r="L39" i="6"/>
  <c r="M39" i="6" s="1"/>
  <c r="I39" i="6"/>
  <c r="J38" i="6"/>
  <c r="K38" i="6" s="1"/>
  <c r="L38" i="6" s="1"/>
  <c r="M38" i="6" s="1"/>
  <c r="I38" i="6"/>
  <c r="H38" i="6"/>
  <c r="J41" i="6"/>
  <c r="K41" i="6"/>
  <c r="L41" i="6"/>
  <c r="M41" i="6"/>
  <c r="I41" i="6"/>
  <c r="J30" i="6"/>
  <c r="K30" i="6"/>
  <c r="L30" i="6"/>
  <c r="M30" i="6"/>
  <c r="I30" i="6"/>
  <c r="I71" i="1"/>
  <c r="I70" i="1"/>
  <c r="I69" i="1"/>
  <c r="I68" i="1"/>
  <c r="I17" i="10" l="1"/>
  <c r="J17" i="10" s="1"/>
  <c r="K17" i="10" s="1"/>
  <c r="L17" i="10" s="1"/>
  <c r="M17" i="10" s="1"/>
  <c r="H150" i="9"/>
  <c r="F150" i="9"/>
  <c r="G150" i="9" s="1"/>
  <c r="D144" i="9"/>
  <c r="N142" i="9"/>
  <c r="M142" i="9"/>
  <c r="L142" i="9"/>
  <c r="K142" i="9"/>
  <c r="N141" i="9"/>
  <c r="M141" i="9"/>
  <c r="L141" i="9"/>
  <c r="K141" i="9"/>
  <c r="N140" i="9"/>
  <c r="M140" i="9"/>
  <c r="L140" i="9"/>
  <c r="K140" i="9"/>
  <c r="N139" i="9"/>
  <c r="M139" i="9"/>
  <c r="L139" i="9"/>
  <c r="K139" i="9"/>
  <c r="G119" i="9"/>
  <c r="G118" i="9"/>
  <c r="G115" i="9"/>
  <c r="J114" i="9"/>
  <c r="E97" i="9"/>
  <c r="G117" i="9" s="1"/>
  <c r="J90" i="9"/>
  <c r="J88" i="9"/>
  <c r="K88" i="9" s="1"/>
  <c r="J86" i="9"/>
  <c r="K86" i="9" s="1"/>
  <c r="J84" i="9"/>
  <c r="K84" i="9" s="1"/>
  <c r="K78" i="9"/>
  <c r="L78" i="9" s="1"/>
  <c r="M78" i="9" s="1"/>
  <c r="N78" i="9" s="1"/>
  <c r="N73" i="9"/>
  <c r="M73" i="9"/>
  <c r="L73" i="9"/>
  <c r="K73" i="9"/>
  <c r="J73" i="9"/>
  <c r="I73" i="9"/>
  <c r="I75" i="9" s="1"/>
  <c r="N71" i="9"/>
  <c r="M71" i="9"/>
  <c r="L71" i="9"/>
  <c r="K71" i="9"/>
  <c r="J71" i="9"/>
  <c r="H71" i="9"/>
  <c r="C69" i="9"/>
  <c r="H68" i="9"/>
  <c r="F52" i="9"/>
  <c r="F53" i="9" s="1"/>
  <c r="F47" i="9"/>
  <c r="F49" i="9" s="1"/>
  <c r="K38" i="9"/>
  <c r="L38" i="9" s="1"/>
  <c r="I37" i="9"/>
  <c r="I36" i="9"/>
  <c r="K35" i="9"/>
  <c r="L35" i="9" s="1"/>
  <c r="I35" i="9"/>
  <c r="I34" i="9"/>
  <c r="J34" i="9" s="1"/>
  <c r="N33" i="9"/>
  <c r="M33" i="9"/>
  <c r="L33" i="9"/>
  <c r="K33" i="9"/>
  <c r="J33" i="9"/>
  <c r="J10" i="9" s="1"/>
  <c r="I33" i="9"/>
  <c r="I12" i="9"/>
  <c r="I17" i="9" s="1"/>
  <c r="J8" i="9"/>
  <c r="H8" i="9"/>
  <c r="F47" i="1"/>
  <c r="G256" i="13"/>
  <c r="F256" i="13"/>
  <c r="G255" i="13"/>
  <c r="F255" i="13"/>
  <c r="G254" i="13"/>
  <c r="F254" i="13"/>
  <c r="G253" i="13"/>
  <c r="F253" i="13"/>
  <c r="G252" i="13"/>
  <c r="F252" i="13"/>
  <c r="G251" i="13"/>
  <c r="F251" i="13"/>
  <c r="G250" i="13"/>
  <c r="F250" i="13"/>
  <c r="G249" i="13"/>
  <c r="F249" i="13"/>
  <c r="G248" i="13"/>
  <c r="F248" i="13"/>
  <c r="G247" i="13"/>
  <c r="F247" i="13"/>
  <c r="G246" i="13"/>
  <c r="F246" i="13"/>
  <c r="G245" i="13"/>
  <c r="F245" i="13"/>
  <c r="G244" i="13"/>
  <c r="F244" i="13"/>
  <c r="G243" i="13"/>
  <c r="F243" i="13"/>
  <c r="G242" i="13"/>
  <c r="F242" i="13"/>
  <c r="G241" i="13"/>
  <c r="F241" i="13"/>
  <c r="G240" i="13"/>
  <c r="F240" i="13"/>
  <c r="G239" i="13"/>
  <c r="F239" i="13"/>
  <c r="G238" i="13"/>
  <c r="F238" i="13"/>
  <c r="G237" i="13"/>
  <c r="F237" i="13"/>
  <c r="G236" i="13"/>
  <c r="F236" i="13"/>
  <c r="G235" i="13"/>
  <c r="F235" i="13"/>
  <c r="G234" i="13"/>
  <c r="F234" i="13"/>
  <c r="G233" i="13"/>
  <c r="F233" i="13"/>
  <c r="G232" i="13"/>
  <c r="F232" i="13"/>
  <c r="G231" i="13"/>
  <c r="F231" i="13"/>
  <c r="G230" i="13"/>
  <c r="F230" i="13"/>
  <c r="G229" i="13"/>
  <c r="F229" i="13"/>
  <c r="G228" i="13"/>
  <c r="F228" i="13"/>
  <c r="G227" i="13"/>
  <c r="F227" i="13"/>
  <c r="G226" i="13"/>
  <c r="F226" i="13"/>
  <c r="G225" i="13"/>
  <c r="F225" i="13"/>
  <c r="G224" i="13"/>
  <c r="F224" i="13"/>
  <c r="G223" i="13"/>
  <c r="F223" i="13"/>
  <c r="G222" i="13"/>
  <c r="F222" i="13"/>
  <c r="G221" i="13"/>
  <c r="F221" i="13"/>
  <c r="G220" i="13"/>
  <c r="F220" i="13"/>
  <c r="G219" i="13"/>
  <c r="F219" i="13"/>
  <c r="G218" i="13"/>
  <c r="F218" i="13"/>
  <c r="G217" i="13"/>
  <c r="F217" i="13"/>
  <c r="G216" i="13"/>
  <c r="F216" i="13"/>
  <c r="G215" i="13"/>
  <c r="F215" i="13"/>
  <c r="G214" i="13"/>
  <c r="F214" i="13"/>
  <c r="G213" i="13"/>
  <c r="F213" i="13"/>
  <c r="G212" i="13"/>
  <c r="F212" i="13"/>
  <c r="G211" i="13"/>
  <c r="F211" i="13"/>
  <c r="G210" i="13"/>
  <c r="F210" i="13"/>
  <c r="G209" i="13"/>
  <c r="F209" i="13"/>
  <c r="G208" i="13"/>
  <c r="F208" i="13"/>
  <c r="G207" i="13"/>
  <c r="F207" i="13"/>
  <c r="G206" i="13"/>
  <c r="F206" i="13"/>
  <c r="G205" i="13"/>
  <c r="F205" i="13"/>
  <c r="G204" i="13"/>
  <c r="F204" i="13"/>
  <c r="G203" i="13"/>
  <c r="F203" i="13"/>
  <c r="G202" i="13"/>
  <c r="F202" i="13"/>
  <c r="G201" i="13"/>
  <c r="F201" i="13"/>
  <c r="G200" i="13"/>
  <c r="F200" i="13"/>
  <c r="G199" i="13"/>
  <c r="F199" i="13"/>
  <c r="G198" i="13"/>
  <c r="F198" i="13"/>
  <c r="G197" i="13"/>
  <c r="F197" i="13"/>
  <c r="G196" i="13"/>
  <c r="F196" i="13"/>
  <c r="G195" i="13"/>
  <c r="F195" i="13"/>
  <c r="G194" i="13"/>
  <c r="F194" i="13"/>
  <c r="G193" i="13"/>
  <c r="F193" i="13"/>
  <c r="G192" i="13"/>
  <c r="F192" i="13"/>
  <c r="G191" i="13"/>
  <c r="F191" i="13"/>
  <c r="G190" i="13"/>
  <c r="F190" i="13"/>
  <c r="G189" i="13"/>
  <c r="F189" i="13"/>
  <c r="G188" i="13"/>
  <c r="F188" i="13"/>
  <c r="G187" i="13"/>
  <c r="F187" i="13"/>
  <c r="G186" i="13"/>
  <c r="F186" i="13"/>
  <c r="G185" i="13"/>
  <c r="F185" i="13"/>
  <c r="G184" i="13"/>
  <c r="F184" i="13"/>
  <c r="G183" i="13"/>
  <c r="F183" i="13"/>
  <c r="G182" i="13"/>
  <c r="F182" i="13"/>
  <c r="G181" i="13"/>
  <c r="F181" i="13"/>
  <c r="G180" i="13"/>
  <c r="F180" i="13"/>
  <c r="G179" i="13"/>
  <c r="F179" i="13"/>
  <c r="G178" i="13"/>
  <c r="F178" i="13"/>
  <c r="G177" i="13"/>
  <c r="F177" i="13"/>
  <c r="G176" i="13"/>
  <c r="F176" i="13"/>
  <c r="G175" i="13"/>
  <c r="F175" i="13"/>
  <c r="G174" i="13"/>
  <c r="F174" i="13"/>
  <c r="G173" i="13"/>
  <c r="F173" i="13"/>
  <c r="G172" i="13"/>
  <c r="F172" i="13"/>
  <c r="G171" i="13"/>
  <c r="F171" i="13"/>
  <c r="G170" i="13"/>
  <c r="F170" i="13"/>
  <c r="G169" i="13"/>
  <c r="F169" i="13"/>
  <c r="G168" i="13"/>
  <c r="F168" i="13"/>
  <c r="G167" i="13"/>
  <c r="F167" i="13"/>
  <c r="G166" i="13"/>
  <c r="F166" i="13"/>
  <c r="G165" i="13"/>
  <c r="F165" i="13"/>
  <c r="G164" i="13"/>
  <c r="F164" i="13"/>
  <c r="G163" i="13"/>
  <c r="F163" i="13"/>
  <c r="G162" i="13"/>
  <c r="F162" i="13"/>
  <c r="G161" i="13"/>
  <c r="F161" i="13"/>
  <c r="G160" i="13"/>
  <c r="F160" i="13"/>
  <c r="G159" i="13"/>
  <c r="F159" i="13"/>
  <c r="G158" i="13"/>
  <c r="F158" i="13"/>
  <c r="G157" i="13"/>
  <c r="F157" i="13"/>
  <c r="G156" i="13"/>
  <c r="F156" i="13"/>
  <c r="G155" i="13"/>
  <c r="F155" i="13"/>
  <c r="G154" i="13"/>
  <c r="F154" i="13"/>
  <c r="G153" i="13"/>
  <c r="F153" i="13"/>
  <c r="G152" i="13"/>
  <c r="F152" i="13"/>
  <c r="G151" i="13"/>
  <c r="F151" i="13"/>
  <c r="G150" i="13"/>
  <c r="F150" i="13"/>
  <c r="G149" i="13"/>
  <c r="F149" i="13"/>
  <c r="G148" i="13"/>
  <c r="F148" i="13"/>
  <c r="G147" i="13"/>
  <c r="F147" i="13"/>
  <c r="G146" i="13"/>
  <c r="F146" i="13"/>
  <c r="G145" i="13"/>
  <c r="F145" i="13"/>
  <c r="G144" i="13"/>
  <c r="F144" i="13"/>
  <c r="G143" i="13"/>
  <c r="F143" i="13"/>
  <c r="G142" i="13"/>
  <c r="F142" i="13"/>
  <c r="G141" i="13"/>
  <c r="F141" i="13"/>
  <c r="G140" i="13"/>
  <c r="F140" i="13"/>
  <c r="G139" i="13"/>
  <c r="F139" i="13"/>
  <c r="G138" i="13"/>
  <c r="F138" i="13"/>
  <c r="G137" i="13"/>
  <c r="F137" i="13"/>
  <c r="G136" i="13"/>
  <c r="F136" i="13"/>
  <c r="G135" i="13"/>
  <c r="F135" i="13"/>
  <c r="G134" i="13"/>
  <c r="F134" i="13"/>
  <c r="G133" i="13"/>
  <c r="F133" i="13"/>
  <c r="G132" i="13"/>
  <c r="F132" i="13"/>
  <c r="G131" i="13"/>
  <c r="F131" i="13"/>
  <c r="G130" i="13"/>
  <c r="F130" i="13"/>
  <c r="G129" i="13"/>
  <c r="F129" i="13"/>
  <c r="G128" i="13"/>
  <c r="F128" i="13"/>
  <c r="G127" i="13"/>
  <c r="F127" i="13"/>
  <c r="G126" i="13"/>
  <c r="F126" i="13"/>
  <c r="G125" i="13"/>
  <c r="F125" i="13"/>
  <c r="G124" i="13"/>
  <c r="F124" i="13"/>
  <c r="G123" i="13"/>
  <c r="F123" i="13"/>
  <c r="G122" i="13"/>
  <c r="F122" i="13"/>
  <c r="G121" i="13"/>
  <c r="F121" i="13"/>
  <c r="G120" i="13"/>
  <c r="F120" i="13"/>
  <c r="G119" i="13"/>
  <c r="F119" i="13"/>
  <c r="G118" i="13"/>
  <c r="F118" i="13"/>
  <c r="G117" i="13"/>
  <c r="F117" i="13"/>
  <c r="G116" i="13"/>
  <c r="F116" i="13"/>
  <c r="G115" i="13"/>
  <c r="F115" i="13"/>
  <c r="G114" i="13"/>
  <c r="F114" i="13"/>
  <c r="G113" i="13"/>
  <c r="F113" i="13"/>
  <c r="G112" i="13"/>
  <c r="F112" i="13"/>
  <c r="G111" i="13"/>
  <c r="F111" i="13"/>
  <c r="G110" i="13"/>
  <c r="F110" i="13"/>
  <c r="G109" i="13"/>
  <c r="F109" i="13"/>
  <c r="G108" i="13"/>
  <c r="F108" i="13"/>
  <c r="G107" i="13"/>
  <c r="F107" i="13"/>
  <c r="G106" i="13"/>
  <c r="F106" i="13"/>
  <c r="G105" i="13"/>
  <c r="F105" i="13"/>
  <c r="G104" i="13"/>
  <c r="F104" i="13"/>
  <c r="G103" i="13"/>
  <c r="F103" i="13"/>
  <c r="G102" i="13"/>
  <c r="F102" i="13"/>
  <c r="G101" i="13"/>
  <c r="F101" i="13"/>
  <c r="G100" i="13"/>
  <c r="F100" i="13"/>
  <c r="G99" i="13"/>
  <c r="F99" i="13"/>
  <c r="G98" i="13"/>
  <c r="F98" i="13"/>
  <c r="G97" i="13"/>
  <c r="F97" i="13"/>
  <c r="G96" i="13"/>
  <c r="F96" i="13"/>
  <c r="G95" i="13"/>
  <c r="F95" i="13"/>
  <c r="G94" i="13"/>
  <c r="F94" i="13"/>
  <c r="G93" i="13"/>
  <c r="F93" i="13"/>
  <c r="G92" i="13"/>
  <c r="F92" i="13"/>
  <c r="G91" i="13"/>
  <c r="F91" i="13"/>
  <c r="G90" i="13"/>
  <c r="F90" i="13"/>
  <c r="G89" i="13"/>
  <c r="F89" i="13"/>
  <c r="G88" i="13"/>
  <c r="F88" i="13"/>
  <c r="G87" i="13"/>
  <c r="F87" i="13"/>
  <c r="G86" i="13"/>
  <c r="F86" i="13"/>
  <c r="G85" i="13"/>
  <c r="F85" i="13"/>
  <c r="G84" i="13"/>
  <c r="F84" i="13"/>
  <c r="G83" i="13"/>
  <c r="F83" i="13"/>
  <c r="G82" i="13"/>
  <c r="F82" i="13"/>
  <c r="G81" i="13"/>
  <c r="F81" i="13"/>
  <c r="G80" i="13"/>
  <c r="F80" i="13"/>
  <c r="G79" i="13"/>
  <c r="F79" i="13"/>
  <c r="G78" i="13"/>
  <c r="F78" i="13"/>
  <c r="G77" i="13"/>
  <c r="F77" i="13"/>
  <c r="G76" i="13"/>
  <c r="F76" i="13"/>
  <c r="G75" i="13"/>
  <c r="F75" i="13"/>
  <c r="G74" i="13"/>
  <c r="F74" i="13"/>
  <c r="G73" i="13"/>
  <c r="F73" i="13"/>
  <c r="G72" i="13"/>
  <c r="F72" i="13"/>
  <c r="G71" i="13"/>
  <c r="F71" i="13"/>
  <c r="G70" i="13"/>
  <c r="F70" i="13"/>
  <c r="G69" i="13"/>
  <c r="F69" i="13"/>
  <c r="G68" i="13"/>
  <c r="F68" i="13"/>
  <c r="G67" i="13"/>
  <c r="F67" i="13"/>
  <c r="G66" i="13"/>
  <c r="F66" i="13"/>
  <c r="G65" i="13"/>
  <c r="F65" i="13"/>
  <c r="G64" i="13"/>
  <c r="F64" i="13"/>
  <c r="G63" i="13"/>
  <c r="F63" i="13"/>
  <c r="G62" i="13"/>
  <c r="F62" i="13"/>
  <c r="G61" i="13"/>
  <c r="F61" i="13"/>
  <c r="G60" i="13"/>
  <c r="F60" i="13"/>
  <c r="G59" i="13"/>
  <c r="F59" i="13"/>
  <c r="G58" i="13"/>
  <c r="F58" i="13"/>
  <c r="G57" i="13"/>
  <c r="F57" i="13"/>
  <c r="G56" i="13"/>
  <c r="F56" i="13"/>
  <c r="G55" i="13"/>
  <c r="F55" i="13"/>
  <c r="G54" i="13"/>
  <c r="F54" i="13"/>
  <c r="G53" i="13"/>
  <c r="F53" i="13"/>
  <c r="G52" i="13"/>
  <c r="F52" i="13"/>
  <c r="G51" i="13"/>
  <c r="F51" i="13"/>
  <c r="G50" i="13"/>
  <c r="F50" i="13"/>
  <c r="G49" i="13"/>
  <c r="F49" i="13"/>
  <c r="G48" i="13"/>
  <c r="F48" i="13"/>
  <c r="G47" i="13"/>
  <c r="F47" i="13"/>
  <c r="G46" i="13"/>
  <c r="F46" i="13"/>
  <c r="G45" i="13"/>
  <c r="F45" i="13"/>
  <c r="G44" i="13"/>
  <c r="F44" i="13"/>
  <c r="G43" i="13"/>
  <c r="F43" i="13"/>
  <c r="G42" i="13"/>
  <c r="F42" i="13"/>
  <c r="G41" i="13"/>
  <c r="F41" i="13"/>
  <c r="G40" i="13"/>
  <c r="F40" i="13"/>
  <c r="G39" i="13"/>
  <c r="F39" i="13"/>
  <c r="G38" i="13"/>
  <c r="F38" i="13"/>
  <c r="G37" i="13"/>
  <c r="F37" i="13"/>
  <c r="G36" i="13"/>
  <c r="F36" i="13"/>
  <c r="G35" i="13"/>
  <c r="F35" i="13"/>
  <c r="G34" i="13"/>
  <c r="F34" i="13"/>
  <c r="G33" i="13"/>
  <c r="F33" i="13"/>
  <c r="G32" i="13"/>
  <c r="F32" i="13"/>
  <c r="G31" i="13"/>
  <c r="F31" i="13"/>
  <c r="G30" i="13"/>
  <c r="F30" i="13"/>
  <c r="G29" i="13"/>
  <c r="F29" i="13"/>
  <c r="G28" i="13"/>
  <c r="F28" i="13"/>
  <c r="G27" i="13"/>
  <c r="F27" i="13"/>
  <c r="G26" i="13"/>
  <c r="F26" i="13"/>
  <c r="G25" i="13"/>
  <c r="F25" i="13"/>
  <c r="G24" i="13"/>
  <c r="F24" i="13"/>
  <c r="G23" i="13"/>
  <c r="F23" i="13"/>
  <c r="G22" i="13"/>
  <c r="F22" i="13"/>
  <c r="G21" i="13"/>
  <c r="F21" i="13"/>
  <c r="G20" i="13"/>
  <c r="F20" i="13"/>
  <c r="G19" i="13"/>
  <c r="F19" i="13"/>
  <c r="G18" i="13"/>
  <c r="F18" i="13"/>
  <c r="G17" i="13"/>
  <c r="F17" i="13"/>
  <c r="G16" i="13"/>
  <c r="F16" i="13"/>
  <c r="G15" i="13"/>
  <c r="F15" i="13"/>
  <c r="I14" i="13"/>
  <c r="G14" i="13"/>
  <c r="F14" i="13"/>
  <c r="G13" i="13"/>
  <c r="F13" i="13"/>
  <c r="G12" i="13"/>
  <c r="F12" i="13"/>
  <c r="G11" i="13"/>
  <c r="F11" i="13"/>
  <c r="G10" i="13"/>
  <c r="F10" i="13"/>
  <c r="G9" i="13"/>
  <c r="F9" i="13"/>
  <c r="G8" i="13"/>
  <c r="F8" i="13"/>
  <c r="G7" i="13"/>
  <c r="F7" i="13"/>
  <c r="G6" i="13"/>
  <c r="F6" i="13"/>
  <c r="G115" i="1"/>
  <c r="I37" i="1"/>
  <c r="I36" i="1"/>
  <c r="I35" i="1"/>
  <c r="I34" i="1"/>
  <c r="I33" i="1"/>
  <c r="I12" i="1"/>
  <c r="I17" i="1" s="1"/>
  <c r="H8" i="1"/>
  <c r="J87" i="9" l="1"/>
  <c r="J74" i="9"/>
  <c r="K114" i="9"/>
  <c r="H153" i="9" s="1"/>
  <c r="F152" i="9"/>
  <c r="H152" i="9"/>
  <c r="K144" i="9"/>
  <c r="G116" i="9"/>
  <c r="H151" i="9"/>
  <c r="F151" i="9"/>
  <c r="G151" i="9" s="1"/>
  <c r="K8" i="9"/>
  <c r="J66" i="9"/>
  <c r="K90" i="9"/>
  <c r="L88" i="9"/>
  <c r="L86" i="9"/>
  <c r="L84" i="9"/>
  <c r="H69" i="9"/>
  <c r="H70" i="9" s="1"/>
  <c r="H75" i="9" s="1"/>
  <c r="M38" i="9"/>
  <c r="M35" i="9"/>
  <c r="I21" i="9"/>
  <c r="I27" i="9"/>
  <c r="I29" i="9" s="1"/>
  <c r="J115" i="9" s="1"/>
  <c r="J11" i="9"/>
  <c r="J37" i="9"/>
  <c r="J15" i="9"/>
  <c r="J14" i="9"/>
  <c r="K10" i="9"/>
  <c r="J9" i="13"/>
  <c r="J14" i="13"/>
  <c r="J8" i="13"/>
  <c r="J10" i="13" s="1"/>
  <c r="I21" i="1"/>
  <c r="I27" i="1"/>
  <c r="I29" i="1" s="1"/>
  <c r="G152" i="9" l="1"/>
  <c r="F153" i="9"/>
  <c r="G153" i="9" s="1"/>
  <c r="L144" i="9"/>
  <c r="I144" i="9"/>
  <c r="G120" i="9"/>
  <c r="E57" i="9"/>
  <c r="K66" i="9"/>
  <c r="L8" i="9"/>
  <c r="M144" i="9"/>
  <c r="H154" i="9"/>
  <c r="F154" i="9"/>
  <c r="G154" i="9" s="1"/>
  <c r="J12" i="9"/>
  <c r="J17" i="9" s="1"/>
  <c r="J89" i="9"/>
  <c r="J85" i="9"/>
  <c r="K87" i="9"/>
  <c r="K74" i="9"/>
  <c r="L90" i="9"/>
  <c r="M88" i="9"/>
  <c r="M86" i="9"/>
  <c r="M84" i="9"/>
  <c r="N38" i="9"/>
  <c r="I23" i="9"/>
  <c r="I25" i="9" s="1"/>
  <c r="I38" i="9"/>
  <c r="L10" i="9"/>
  <c r="K14" i="9"/>
  <c r="K37" i="9"/>
  <c r="I23" i="1"/>
  <c r="I25" i="1" s="1"/>
  <c r="I38" i="1"/>
  <c r="E97" i="1"/>
  <c r="G117" i="1" s="1"/>
  <c r="J27" i="9" l="1"/>
  <c r="J21" i="9"/>
  <c r="E58" i="9"/>
  <c r="J144" i="9"/>
  <c r="J116" i="9"/>
  <c r="K116" i="9"/>
  <c r="J117" i="9"/>
  <c r="L66" i="9"/>
  <c r="M8" i="9"/>
  <c r="L87" i="9"/>
  <c r="L74" i="9"/>
  <c r="M90" i="9"/>
  <c r="N88" i="9"/>
  <c r="N86" i="9"/>
  <c r="N84" i="9"/>
  <c r="L14" i="9"/>
  <c r="M10" i="9"/>
  <c r="L37" i="9"/>
  <c r="P35" i="9"/>
  <c r="P36" i="9"/>
  <c r="K36" i="9" s="1"/>
  <c r="I73" i="1"/>
  <c r="I75" i="1" s="1"/>
  <c r="H71" i="1"/>
  <c r="J71" i="1"/>
  <c r="K71" i="1"/>
  <c r="L71" i="1"/>
  <c r="M71" i="1"/>
  <c r="N71" i="1"/>
  <c r="J73" i="1"/>
  <c r="K73" i="1"/>
  <c r="L73" i="1"/>
  <c r="M73" i="1"/>
  <c r="N73" i="1"/>
  <c r="K78" i="1"/>
  <c r="L78" i="1" s="1"/>
  <c r="H104" i="9"/>
  <c r="H105" i="9" s="1"/>
  <c r="H102" i="9"/>
  <c r="H101" i="9" s="1"/>
  <c r="L100" i="9"/>
  <c r="M100" i="9" s="1"/>
  <c r="J100" i="9"/>
  <c r="I100" i="9" s="1"/>
  <c r="J29" i="9" l="1"/>
  <c r="K115" i="9" s="1"/>
  <c r="J68" i="9"/>
  <c r="J69" i="9" s="1"/>
  <c r="J70" i="9" s="1"/>
  <c r="J75" i="9" s="1"/>
  <c r="J22" i="9"/>
  <c r="J23" i="9" s="1"/>
  <c r="J24" i="9" s="1"/>
  <c r="J25" i="9" s="1"/>
  <c r="M74" i="9"/>
  <c r="M87" i="9"/>
  <c r="F56" i="9"/>
  <c r="F57" i="9"/>
  <c r="M66" i="9"/>
  <c r="N8" i="9"/>
  <c r="N66" i="9" s="1"/>
  <c r="C94" i="9" s="1"/>
  <c r="N90" i="9"/>
  <c r="M14" i="9"/>
  <c r="M37" i="9"/>
  <c r="N10" i="9"/>
  <c r="L36" i="9"/>
  <c r="K15" i="9"/>
  <c r="P34" i="9"/>
  <c r="K34" i="9" s="1"/>
  <c r="M78" i="1"/>
  <c r="P35" i="1"/>
  <c r="G116" i="1"/>
  <c r="F60" i="9" l="1"/>
  <c r="K117" i="9"/>
  <c r="N144" i="9"/>
  <c r="H155" i="9"/>
  <c r="F155" i="9"/>
  <c r="K77" i="9"/>
  <c r="K79" i="9" s="1"/>
  <c r="M77" i="9"/>
  <c r="M79" i="9" s="1"/>
  <c r="J77" i="9"/>
  <c r="J79" i="9" s="1"/>
  <c r="J81" i="9" s="1"/>
  <c r="L77" i="9"/>
  <c r="L79" i="9" s="1"/>
  <c r="N77" i="9"/>
  <c r="N79" i="9" s="1"/>
  <c r="N74" i="9"/>
  <c r="N87" i="9"/>
  <c r="N15" i="9"/>
  <c r="N11" i="9"/>
  <c r="N14" i="9"/>
  <c r="N37" i="9"/>
  <c r="M36" i="9"/>
  <c r="M15" i="9" s="1"/>
  <c r="L15" i="9"/>
  <c r="K11" i="9"/>
  <c r="L34" i="9"/>
  <c r="N78" i="1"/>
  <c r="G155" i="9" l="1"/>
  <c r="N12" i="9"/>
  <c r="N17" i="9" s="1"/>
  <c r="N85" i="9"/>
  <c r="N89" i="9"/>
  <c r="K12" i="9"/>
  <c r="K17" i="9" s="1"/>
  <c r="K85" i="9"/>
  <c r="K89" i="9"/>
  <c r="L11" i="9"/>
  <c r="M34" i="9"/>
  <c r="M11" i="9" s="1"/>
  <c r="N21" i="9" l="1"/>
  <c r="N27" i="9"/>
  <c r="N68" i="9" s="1"/>
  <c r="N69" i="9" s="1"/>
  <c r="N70" i="9" s="1"/>
  <c r="N75" i="9" s="1"/>
  <c r="N81" i="9" s="1"/>
  <c r="K27" i="9"/>
  <c r="K21" i="9"/>
  <c r="N29" i="9"/>
  <c r="L12" i="9"/>
  <c r="L17" i="9" s="1"/>
  <c r="L27" i="9" s="1"/>
  <c r="L85" i="9"/>
  <c r="L89" i="9"/>
  <c r="M12" i="9"/>
  <c r="M17" i="9" s="1"/>
  <c r="M85" i="9"/>
  <c r="M89" i="9"/>
  <c r="L21" i="9"/>
  <c r="J86" i="1"/>
  <c r="M27" i="9" l="1"/>
  <c r="M21" i="9"/>
  <c r="K29" i="9"/>
  <c r="K68" i="9"/>
  <c r="K69" i="9" s="1"/>
  <c r="K70" i="9" s="1"/>
  <c r="K75" i="9" s="1"/>
  <c r="K81" i="9" s="1"/>
  <c r="N22" i="9"/>
  <c r="N23" i="9" s="1"/>
  <c r="K22" i="9"/>
  <c r="K23" i="9"/>
  <c r="L29" i="9"/>
  <c r="L68" i="9"/>
  <c r="L69" i="9" s="1"/>
  <c r="L70" i="9" s="1"/>
  <c r="L75" i="9" s="1"/>
  <c r="L81" i="9" s="1"/>
  <c r="L22" i="9"/>
  <c r="L23" i="9"/>
  <c r="I93" i="9"/>
  <c r="H68" i="1"/>
  <c r="H69" i="1" s="1"/>
  <c r="H70" i="1" s="1"/>
  <c r="H75" i="1" s="1"/>
  <c r="M29" i="9" l="1"/>
  <c r="M68" i="9"/>
  <c r="M69" i="9" s="1"/>
  <c r="M70" i="9" s="1"/>
  <c r="M75" i="9" s="1"/>
  <c r="M81" i="9" s="1"/>
  <c r="E94" i="9" s="1"/>
  <c r="M22" i="9"/>
  <c r="M23" i="9"/>
  <c r="M24" i="9" s="1"/>
  <c r="M25" i="9" s="1"/>
  <c r="N24" i="9"/>
  <c r="N25" i="9" s="1"/>
  <c r="K24" i="9"/>
  <c r="K25" i="9" s="1"/>
  <c r="L24" i="9"/>
  <c r="L25" i="9"/>
  <c r="O39" i="6"/>
  <c r="J33" i="1" l="1"/>
  <c r="L33" i="1"/>
  <c r="M33" i="1"/>
  <c r="N33" i="1"/>
  <c r="K33" i="1"/>
  <c r="H39" i="6"/>
  <c r="F52" i="1"/>
  <c r="P33" i="9" l="1"/>
  <c r="P33" i="1"/>
  <c r="P40" i="10"/>
  <c r="P39" i="10"/>
  <c r="H39" i="10"/>
  <c r="I39" i="10" s="1"/>
  <c r="J39" i="10" s="1"/>
  <c r="K39" i="10" s="1"/>
  <c r="L39" i="10" s="1"/>
  <c r="M39" i="10" s="1"/>
  <c r="P38" i="10"/>
  <c r="H38" i="10"/>
  <c r="I38" i="10" s="1"/>
  <c r="J38" i="10" s="1"/>
  <c r="K38" i="10" s="1"/>
  <c r="L38" i="10" s="1"/>
  <c r="M38" i="10" s="1"/>
  <c r="I37" i="10"/>
  <c r="J37" i="10" s="1"/>
  <c r="K37" i="10" s="1"/>
  <c r="L37" i="10" s="1"/>
  <c r="M37" i="10" s="1"/>
  <c r="M41" i="10"/>
  <c r="L41" i="10"/>
  <c r="K41" i="10"/>
  <c r="J41" i="10"/>
  <c r="I41" i="10"/>
  <c r="I40" i="10" l="1"/>
  <c r="O40" i="6"/>
  <c r="O38" i="6"/>
  <c r="D144" i="1"/>
  <c r="G119" i="1"/>
  <c r="G118" i="1"/>
  <c r="J114" i="1"/>
  <c r="L100" i="1"/>
  <c r="M100" i="1" s="1"/>
  <c r="J100" i="1"/>
  <c r="I100" i="1" s="1"/>
  <c r="J90" i="1"/>
  <c r="J88" i="1"/>
  <c r="K86" i="1"/>
  <c r="J84" i="1"/>
  <c r="C69" i="1"/>
  <c r="K38" i="1"/>
  <c r="L38" i="1" s="1"/>
  <c r="P36" i="1"/>
  <c r="K36" i="1" s="1"/>
  <c r="K35" i="1"/>
  <c r="L35" i="1" s="1"/>
  <c r="J34" i="1"/>
  <c r="P34" i="1" s="1"/>
  <c r="J8" i="1"/>
  <c r="K8" i="1" s="1"/>
  <c r="I37" i="6"/>
  <c r="J37" i="6" s="1"/>
  <c r="K37" i="6" s="1"/>
  <c r="L37" i="6" s="1"/>
  <c r="M37" i="6" s="1"/>
  <c r="I24" i="10" l="1"/>
  <c r="J24" i="10" s="1"/>
  <c r="K24" i="10" s="1"/>
  <c r="L24" i="10" s="1"/>
  <c r="M24" i="10" s="1"/>
  <c r="J40" i="10"/>
  <c r="I17" i="6"/>
  <c r="K144" i="1"/>
  <c r="M38" i="1"/>
  <c r="L86" i="1"/>
  <c r="K88" i="1"/>
  <c r="K34" i="1"/>
  <c r="L34" i="1" s="1"/>
  <c r="M34" i="1" s="1"/>
  <c r="M35" i="1"/>
  <c r="L8" i="1"/>
  <c r="K66" i="1"/>
  <c r="K84" i="1"/>
  <c r="L36" i="1"/>
  <c r="J66" i="1"/>
  <c r="K90" i="1"/>
  <c r="G150" i="1" l="1"/>
  <c r="G151" i="1"/>
  <c r="G152" i="1"/>
  <c r="J10" i="1"/>
  <c r="K40" i="10"/>
  <c r="J17" i="6"/>
  <c r="K17" i="6" s="1"/>
  <c r="L17" i="6" s="1"/>
  <c r="M17" i="6" s="1"/>
  <c r="I24" i="6"/>
  <c r="J24" i="6" s="1"/>
  <c r="K24" i="6" s="1"/>
  <c r="L24" i="6" s="1"/>
  <c r="M24" i="6" s="1"/>
  <c r="M36" i="1"/>
  <c r="L88" i="1"/>
  <c r="L84" i="1"/>
  <c r="L66" i="1"/>
  <c r="M8" i="1"/>
  <c r="M86" i="1"/>
  <c r="L90" i="1"/>
  <c r="N38" i="1"/>
  <c r="J115" i="1"/>
  <c r="I144" i="1"/>
  <c r="E57" i="1"/>
  <c r="J74" i="1" l="1"/>
  <c r="K114" i="1"/>
  <c r="J37" i="1"/>
  <c r="J11" i="1"/>
  <c r="J14" i="1"/>
  <c r="J87" i="1"/>
  <c r="K10" i="1"/>
  <c r="L40" i="10"/>
  <c r="M40" i="10"/>
  <c r="J144" i="1"/>
  <c r="E58" i="1"/>
  <c r="F56" i="1" s="1"/>
  <c r="M66" i="1"/>
  <c r="N8" i="1"/>
  <c r="N66" i="1" s="1"/>
  <c r="M84" i="1"/>
  <c r="N86" i="1"/>
  <c r="M144" i="1"/>
  <c r="M88" i="1"/>
  <c r="M90" i="1"/>
  <c r="L74" i="1" l="1"/>
  <c r="K74" i="1"/>
  <c r="L144" i="1"/>
  <c r="J85" i="1"/>
  <c r="J89" i="1"/>
  <c r="K15" i="1"/>
  <c r="J12" i="1"/>
  <c r="J17" i="1" s="1"/>
  <c r="J27" i="1" s="1"/>
  <c r="J68" i="1" s="1"/>
  <c r="J69" i="1" s="1"/>
  <c r="J70" i="1" s="1"/>
  <c r="J75" i="1" s="1"/>
  <c r="K87" i="1"/>
  <c r="K14" i="1"/>
  <c r="K37" i="1"/>
  <c r="K11" i="1"/>
  <c r="K12" i="1" s="1"/>
  <c r="L15" i="1"/>
  <c r="G154" i="1"/>
  <c r="F57" i="1"/>
  <c r="N90" i="1"/>
  <c r="I93" i="1"/>
  <c r="C94" i="1"/>
  <c r="N88" i="1"/>
  <c r="N84" i="1"/>
  <c r="K77" i="1" l="1"/>
  <c r="N77" i="1"/>
  <c r="J77" i="1"/>
  <c r="L77" i="1"/>
  <c r="M77" i="1"/>
  <c r="L93" i="9"/>
  <c r="L95" i="9" s="1"/>
  <c r="E95" i="9" s="1"/>
  <c r="G153" i="1"/>
  <c r="J29" i="1"/>
  <c r="K115" i="1" s="1"/>
  <c r="J21" i="1"/>
  <c r="J22" i="1" s="1"/>
  <c r="J23" i="1" s="1"/>
  <c r="J24" i="1" s="1"/>
  <c r="J25" i="1" s="1"/>
  <c r="K17" i="1"/>
  <c r="L87" i="1"/>
  <c r="M10" i="1"/>
  <c r="L37" i="1"/>
  <c r="L11" i="1"/>
  <c r="L12" i="1" s="1"/>
  <c r="L14" i="1"/>
  <c r="K85" i="1"/>
  <c r="K89" i="1"/>
  <c r="L96" i="9" l="1"/>
  <c r="E96" i="9"/>
  <c r="E100" i="9" s="1"/>
  <c r="E102" i="9" s="1"/>
  <c r="H100" i="9" s="1"/>
  <c r="K21" i="1"/>
  <c r="M15" i="1"/>
  <c r="M74" i="1"/>
  <c r="K27" i="1"/>
  <c r="M11" i="1"/>
  <c r="M87" i="1"/>
  <c r="M37" i="1"/>
  <c r="N10" i="1"/>
  <c r="M14" i="1"/>
  <c r="N144" i="1"/>
  <c r="L85" i="1"/>
  <c r="L89" i="1"/>
  <c r="L17" i="1"/>
  <c r="K23" i="1" l="1"/>
  <c r="K24" i="1" s="1"/>
  <c r="K25" i="1" s="1"/>
  <c r="K29" i="1"/>
  <c r="K68" i="1"/>
  <c r="K69" i="1" s="1"/>
  <c r="K70" i="1" s="1"/>
  <c r="K75" i="1" s="1"/>
  <c r="N87" i="1"/>
  <c r="N74" i="1"/>
  <c r="G155" i="1"/>
  <c r="L21" i="1"/>
  <c r="M85" i="1"/>
  <c r="M89" i="1"/>
  <c r="M12" i="1"/>
  <c r="N37" i="1"/>
  <c r="N15" i="1"/>
  <c r="N14" i="1"/>
  <c r="N11" i="1"/>
  <c r="N12" i="1" s="1"/>
  <c r="L22" i="1" l="1"/>
  <c r="L23" i="1" s="1"/>
  <c r="L24" i="1" s="1"/>
  <c r="L25" i="1" s="1"/>
  <c r="L29" i="1" s="1"/>
  <c r="N89" i="1"/>
  <c r="N85" i="1"/>
  <c r="M21" i="1"/>
  <c r="M22" i="1" s="1"/>
  <c r="M23" i="1" s="1"/>
  <c r="M24" i="1" s="1"/>
  <c r="M25" i="1" s="1"/>
  <c r="N17" i="1"/>
  <c r="N21" i="1" s="1"/>
  <c r="N22" i="1" s="1"/>
  <c r="N23" i="1" s="1"/>
  <c r="N24" i="1" s="1"/>
  <c r="N25" i="1" s="1"/>
  <c r="L68" i="1" l="1"/>
  <c r="L69" i="1" s="1"/>
  <c r="L70" i="1" s="1"/>
  <c r="L75" i="1" s="1"/>
  <c r="M27" i="1"/>
  <c r="N27" i="1"/>
  <c r="N68" i="1" l="1"/>
  <c r="N69" i="1" s="1"/>
  <c r="N70" i="1" s="1"/>
  <c r="N75" i="1" s="1"/>
  <c r="M29" i="1"/>
  <c r="M68" i="1"/>
  <c r="M69" i="1" s="1"/>
  <c r="M70" i="1" s="1"/>
  <c r="M75" i="1" s="1"/>
  <c r="L93" i="1" l="1"/>
  <c r="L95" i="1" s="1"/>
  <c r="L96" i="1" l="1"/>
  <c r="H104" i="1" l="1"/>
  <c r="H105" i="1" s="1"/>
  <c r="H102" i="1"/>
  <c r="H10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tc={C6AC1506-F35E-934D-81DB-7B6B1EFC1E8C}</author>
  </authors>
  <commentList>
    <comment ref="J33" authorId="0" shapeId="0" xr:uid="{C6AC1506-F35E-934D-81DB-7B6B1EFC1E8C}">
      <text>
        <t>[Threaded comment]
Your version of Excel allows you to read this threaded comment; however, any edits to it will get removed if the file is opened in a newer version of Excel. Learn more: https://go.microsoft.com/fwlink/?linkid=870924
Comment:
    For this model, we decide to pick Research Forecasts for our Revenue Assumptions. You can still pick your preferred one in Task 1 and provide your justification!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Alessia Di Salvo</author>
  </authors>
  <commentList>
    <comment ref="H15" authorId="0" shapeId="0" xr:uid="{9F568DBE-55D7-4034-AB89-EBD9B7367AED}">
      <text>
        <r>
          <rPr>
            <b/>
            <sz val="9"/>
            <color indexed="81"/>
            <rFont val="Tahoma"/>
            <family val="2"/>
          </rPr>
          <t>Alessia Di Salvo:</t>
        </r>
        <r>
          <rPr>
            <sz val="9"/>
            <color indexed="81"/>
            <rFont val="Tahoma"/>
            <family val="2"/>
          </rPr>
          <t xml:space="preserve">
Tesla current global BEV market share: 12.0% (FY2025 blended). Per Counterpoint Research, Tesla's quarterly global BEV share trended Q2 2024: 17% → Q3 2024: 17% → Q4 2024: 14% → Q1 2025: 12% → Q2 2025: 12% → Q3 2025: 13% → Q4 2025: 10%, averaging ~12% for FY2025. Tesla delivered 1.64M vehicles in 2025 vs. global EV market of ~20.7M units (IEA Global EV Outlook 2025), implying ~7.9% of total EV market (incl. PHEVs) or ~12% of pure BEV market. BYD overtook Tesla as global BEV leader in 2025 with 2.26M BEV deliveries. Sources: Counterpoint Research (https://counterpointresearch.com/en/insights/global-electric-vehicle-market-share-quarterly); IEA Global EV Outlook 2025 (https://www.iea.org/reports/global-ev-outlook-2025/trends-in-electric-car-markets-2); SQ Magazine compiling Tesla/BYD investor releases (https://sqmagazine.co.uk/electric-vehicle-statistics/).</t>
        </r>
      </text>
    </comment>
    <comment ref="H16" authorId="0" shapeId="0" xr:uid="{3050F06E-43B1-4766-BEF6-F7390B26A7BA}">
      <text>
        <r>
          <rPr>
            <b/>
            <sz val="9"/>
            <color indexed="81"/>
            <rFont val="Tahoma"/>
            <family val="2"/>
          </rPr>
          <t>Alessia Di Salvo:</t>
        </r>
        <r>
          <rPr>
            <sz val="9"/>
            <color indexed="81"/>
            <rFont val="Tahoma"/>
            <family val="2"/>
          </rPr>
          <t xml:space="preserve">
Global EV market 5-year forward CAGR: 14.0% (FY2025–FY2030). Derived from EV-Volumes forecast: 23.7M units in 2025 → ~45M+ by 2030 implied by 43.2% penetration of global light-vehicle sales (~105M units), and IEA's trajectory of 20.7M in 2025 to ~45M+ by 2030. Recent historical context: global EV sales grew from ~14M (2023) → 17.8M (2024) → 20.7M (2025), a ~22% 2-yr CAGR, decelerating as the market matures. Forward 14% reflects deceleration as base grows, China share normalizes, and post-incentive environments stabilize in US/Europe. Sources: EV-Volumes (https://ev-volumes.com/); IEA Global EV Outlook 2025 (https://www.iea.org/reports/global-ev-outlook-2025/trends-in-electric-car-markets-2); BloombergNEF / SQ Magazine (https://sqmagazine.co.uk/electric-vehicle-statistics/).</t>
        </r>
      </text>
    </comment>
    <comment ref="I18" authorId="0" shapeId="0" xr:uid="{8DA0B9B8-4336-4820-95C3-A3430704343B}">
      <text>
        <r>
          <rPr>
            <b/>
            <sz val="9"/>
            <color indexed="81"/>
            <rFont val="Tahoma"/>
            <family val="2"/>
          </rPr>
          <t>Tesla annual growth in market share FY2026E: -8.0%. Decline expected to decelerate as refreshed Model Y, lower-priced model launches, and Cybercab production ramp partially offset BYD/Chinese competition and brand headwinds in Europe. Source: Composite of analyst commentary including Goldman Sachs FY2026 delivery forecast of 2.30M (https://www.benzinga.com/analyst-ratings/analyst-color/25/01/42786667/goldman-sachs-cuts-tesla-2025-delivery-forecast-after-miss) implying recovery vs. ~16% global EV market growth (EV-Volumes forecast 27.5% market share by 2026, https://ev-volumes.com/).</t>
        </r>
      </text>
    </comment>
    <comment ref="J18" authorId="0" shapeId="0" xr:uid="{3961FFF1-8E70-42FC-B13B-E34B2A0F0047}">
      <text>
        <r>
          <rPr>
            <b/>
            <sz val="9"/>
            <color indexed="81"/>
            <rFont val="Tahoma"/>
            <family val="2"/>
          </rPr>
          <t>Tesla annual growth in market share FY2027E: -5.0%. Continued moderate share erosion as Chinese competitors expand in non-US markets and US legacy OEMs (GM, Ford, VW Group) gain. Source: Recharged EV Sales Statistics 2026 (https://recharged.com/articles/ev-sales-statistics-2026); IEA Global EV Outlook noting 110 new EV models entered US market since 2020 driving Tesla US share from 60% to 38% (https://www.iea.org/reports/global-ev-outlook-2025/trends-in-electric-car-markets-2).</t>
        </r>
      </text>
    </comment>
    <comment ref="K18" authorId="0" shapeId="0" xr:uid="{B78902D3-5B44-4D7B-A2F2-49D89D6A09F6}">
      <text>
        <r>
          <rPr>
            <b/>
            <sz val="9"/>
            <color indexed="81"/>
            <rFont val="Tahoma"/>
            <family val="2"/>
          </rPr>
          <t>Tesla annual growth in market share FY2028E: -3.0%. Share erosion slows further as Tesla's autonomy/robotaxi differentiation begins to materialize and the EV market matures. Source: Best-Selling-Cars compilation of analyst outlooks (Daiwa, DB, Wedbush, GS, RBC, Morgan Stanley, UBS et al.) projecting Tesla deliveries reaching 3M+ by 2029 (https://www.best-selling-cars.com/brands/2025-full-year-global-tesla-worldwide-car-sales-by-model-and-outlook-2026-to-2029/).</t>
        </r>
      </text>
    </comment>
    <comment ref="L18" authorId="0" shapeId="0" xr:uid="{D0CC3045-69E5-4009-A62F-1D5117944917}">
      <text>
        <r>
          <rPr>
            <b/>
            <sz val="9"/>
            <color indexed="81"/>
            <rFont val="Tahoma"/>
            <family val="2"/>
          </rPr>
          <t>Tesla annual growth in market share FY2029E: 0.0%. Market share assumed to stabilize as Tesla's product line is fully refreshed (Cybercab in volume, lower-priced model, Semi) and the EV competitive landscape reaches relative equilibrium. Source: EV-Volumes long-term forecast of 43.2% global EV penetration by 2030 (https://ev-volumes.com/) and Best-Selling-Cars analyst compilation (https://www.best-selling-cars.com/brands/2025-full-year-global-tesla-worldwide-car-sales-by-model-and-outlook-2026-to-2029/) showing analyst median delivery growth stabilizing 2028-2029.</t>
        </r>
      </text>
    </comment>
    <comment ref="M18" authorId="0" shapeId="0" xr:uid="{3DEA203B-367B-48DD-8208-6F3C5CC3AC09}">
      <text>
        <r>
          <rPr>
            <b/>
            <sz val="9"/>
            <color indexed="81"/>
            <rFont val="Tahoma"/>
            <family val="2"/>
          </rPr>
          <t>Tesla annual growth in market share FY2030E: +2.0%. Modest share recovery assumed if Cybercab/robotaxi network economics scale and Tesla's lower-priced platform reaches volume — speculative; could also remain flat or negative. Source: ARK Invest, Morgan Stanley (Adam Jonas) and TD Cowen bull cases on Cybercab unit economics (https://fxopen.com/blog/en/analysts-tesla-tsla-price-predictions/); base case from EV-Volumes long-term forecast (https://ev-volumes.com/).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tc={4DCC84F4-F640-4FC3-8F25-36285F28E672}</author>
    <author>Alessia Di Salvo</author>
  </authors>
  <commentList>
    <comment ref="J33" authorId="0" shapeId="0" xr:uid="{4DCC84F4-F640-4FC3-8F25-36285F28E672}">
      <text>
        <t>[Threaded comment]
Your version of Excel allows you to read this threaded comment; however, any edits to it will get removed if the file is opened in a newer version of Excel. Learn more: https://go.microsoft.com/fwlink/?linkid=870924
Comment:
    For this model, we decide to pick Research Forecasts for our Revenue Assumptions. You can still pick your preferred one in Task 1 and provide your justification!</t>
      </text>
    </comment>
    <comment ref="F47" authorId="1" shapeId="0" xr:uid="{7B98064F-3FD3-4599-B7F6-751BC507DE15}">
      <text>
        <r>
          <rPr>
            <b/>
            <sz val="9"/>
            <color indexed="81"/>
            <rFont val="Tahoma"/>
            <family val="2"/>
          </rPr>
          <t>Alessia Di Salvo:</t>
        </r>
        <r>
          <rPr>
            <sz val="9"/>
            <color indexed="81"/>
            <rFont val="Tahoma"/>
            <family val="2"/>
          </rPr>
          <t xml:space="preserve">
Tesla 5-year equity beta as of late April 2026: 1.89. Source: GuruFocus 1.8923 as of Apr. 6, 2026 (https://www.gurufocus.com/term/beta/TSLA); cross-checked with Investing.com 5-yr beta 1.93 (https://www.investing.com/pro/NASDAQGS:TSLA/explorer/beta), finbox 1.92 (https://finbox.com/NASDAQGS:TSLA/explorer/beta/), TradingView 1.77 (https://www.tradingview.com/symbols/NASDAQ-TSLA/). Range 1.77–1.93; using ~1.89 as median of regulated/comparable methodologies.</t>
        </r>
      </text>
    </comment>
    <comment ref="F48" authorId="1" shapeId="0" xr:uid="{EA961863-E779-4BE0-A5B5-205DE0332671}">
      <text>
        <r>
          <rPr>
            <b/>
            <sz val="9"/>
            <color indexed="81"/>
            <rFont val="Tahoma"/>
            <family val="2"/>
          </rPr>
          <t>Alessia Di Salvo:</t>
        </r>
        <r>
          <rPr>
            <sz val="9"/>
            <color indexed="81"/>
            <rFont val="Tahoma"/>
            <family val="2"/>
          </rPr>
          <t xml:space="preserve">
US Implied Equity Risk Premium as of start of 2026: 4.23%. Source: Aswath Damodaran (NYU Stern), Data Update 2 for 2026 (https://aswathdamodaran.substack.com/p/data-update-2-for-2026-a-testing); also cited at https://pages.stern.nyu.edu/~adamodar/New_Home_Page/datafile/histimpl.html and BV Resources summary (https://www.bvresources.com/articles/bvwire/damodaran-posts-his-first-data-update-for-2026). Damodaran's most recent published implied ERP — latest available as of 28 April 2026.</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futureMetadata>
  <futureMetadata name="XLDAPR" count="1">
    <bk>
      <extLst>
        <ext uri="{bdbb8cdc-fa1e-496e-a857-3c3f30c029c3}">
          <xda:dynamicArrayProperties fDynamic="1" fCollapsed="0"/>
        </ext>
      </extLst>
    </bk>
  </futureMetadata>
  <cellMetadata count="1">
    <bk>
      <rc t="2" v="0"/>
    </bk>
  </cellMetadata>
  <valueMetadata count="75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valueMetadata>
</metadata>
</file>

<file path=xl/sharedStrings.xml><?xml version="1.0" encoding="utf-8"?>
<sst xmlns="http://schemas.openxmlformats.org/spreadsheetml/2006/main" count="623" uniqueCount="273">
  <si>
    <t>Task 1</t>
  </si>
  <si>
    <t>Income Statement</t>
  </si>
  <si>
    <t>Projected</t>
  </si>
  <si>
    <t>Amounts in millions</t>
  </si>
  <si>
    <t>Units</t>
  </si>
  <si>
    <t>Revenue</t>
  </si>
  <si>
    <t>$m</t>
  </si>
  <si>
    <t>Cost of Sales</t>
  </si>
  <si>
    <t>Gross Profit</t>
  </si>
  <si>
    <t>Product Development</t>
  </si>
  <si>
    <t>Selling, General &amp; Administrative</t>
  </si>
  <si>
    <t>Operating Income</t>
  </si>
  <si>
    <t>Pretax Income</t>
  </si>
  <si>
    <t>Net Income</t>
  </si>
  <si>
    <t>EBIT</t>
  </si>
  <si>
    <t>EBITDA</t>
  </si>
  <si>
    <t>x</t>
  </si>
  <si>
    <t>Income Statement Drivers</t>
  </si>
  <si>
    <t>Revenue Growth</t>
  </si>
  <si>
    <t>%</t>
  </si>
  <si>
    <t>Cost of Sales % Revenues</t>
  </si>
  <si>
    <t>Product Development as % Revenues</t>
  </si>
  <si>
    <t>Selling, General and Administrative Expenses % Revenues</t>
  </si>
  <si>
    <t>D&amp;A as a % of Revenue</t>
  </si>
  <si>
    <t>Taxes % of Profit Before Tax</t>
  </si>
  <si>
    <t>Task 2</t>
  </si>
  <si>
    <t>Inventory</t>
  </si>
  <si>
    <t>$</t>
  </si>
  <si>
    <t>Task 4</t>
  </si>
  <si>
    <t>Discounted Cash Flow Analysis</t>
  </si>
  <si>
    <t>Weighted Average Cost of Capital</t>
  </si>
  <si>
    <r>
      <t>Risk free rate (R</t>
    </r>
    <r>
      <rPr>
        <vertAlign val="subscript"/>
        <sz val="10"/>
        <rFont val="Calibri"/>
        <family val="2"/>
        <scheme val="minor"/>
      </rPr>
      <t>f</t>
    </r>
    <r>
      <rPr>
        <sz val="11"/>
        <color theme="1"/>
        <rFont val="Calibri"/>
        <family val="2"/>
        <scheme val="minor"/>
      </rPr>
      <t>)</t>
    </r>
  </si>
  <si>
    <t>Equity Beta</t>
  </si>
  <si>
    <r>
      <t>Equity risk premium (R</t>
    </r>
    <r>
      <rPr>
        <vertAlign val="subscript"/>
        <sz val="10"/>
        <rFont val="Calibri"/>
        <family val="2"/>
        <scheme val="minor"/>
      </rPr>
      <t>m</t>
    </r>
    <r>
      <rPr>
        <sz val="11"/>
        <color theme="1"/>
        <rFont val="Calibri"/>
        <family val="2"/>
        <scheme val="minor"/>
      </rPr>
      <t xml:space="preserve"> - R</t>
    </r>
    <r>
      <rPr>
        <vertAlign val="subscript"/>
        <sz val="10"/>
        <rFont val="Calibri"/>
        <family val="2"/>
        <scheme val="minor"/>
      </rPr>
      <t>f</t>
    </r>
    <r>
      <rPr>
        <sz val="11"/>
        <color theme="1"/>
        <rFont val="Calibri"/>
        <family val="2"/>
        <scheme val="minor"/>
      </rPr>
      <t>)</t>
    </r>
  </si>
  <si>
    <r>
      <t>Cost of Equity (K</t>
    </r>
    <r>
      <rPr>
        <b/>
        <vertAlign val="subscript"/>
        <sz val="8"/>
        <rFont val="Calibri"/>
        <family val="2"/>
        <scheme val="minor"/>
      </rPr>
      <t>e</t>
    </r>
    <r>
      <rPr>
        <b/>
        <sz val="10"/>
        <rFont val="Calibri"/>
        <family val="2"/>
        <scheme val="minor"/>
      </rPr>
      <t>)</t>
    </r>
  </si>
  <si>
    <t>Cost of debt</t>
  </si>
  <si>
    <t>Tax rate</t>
  </si>
  <si>
    <r>
      <t>After-tax Cost of Debt (K</t>
    </r>
    <r>
      <rPr>
        <b/>
        <vertAlign val="subscript"/>
        <sz val="8"/>
        <rFont val="Calibri"/>
        <family val="2"/>
        <scheme val="minor"/>
      </rPr>
      <t>dt</t>
    </r>
    <r>
      <rPr>
        <b/>
        <sz val="10"/>
        <rFont val="Calibri"/>
        <family val="2"/>
        <scheme val="minor"/>
      </rPr>
      <t>)</t>
    </r>
  </si>
  <si>
    <t>Percentage of Capital</t>
  </si>
  <si>
    <t>Debt</t>
  </si>
  <si>
    <t>Equity</t>
  </si>
  <si>
    <t>Total capital</t>
  </si>
  <si>
    <t>Discounted Cash Flow</t>
  </si>
  <si>
    <t>Amounts in millions, except per share amount</t>
  </si>
  <si>
    <t>NOPAT</t>
  </si>
  <si>
    <t>+ Depreciation and Amortization</t>
  </si>
  <si>
    <t>± Changes in working capital</t>
  </si>
  <si>
    <t>– Capital expenditures</t>
  </si>
  <si>
    <t>Unlevered Free Cash Flows</t>
  </si>
  <si>
    <t>Discount rate</t>
  </si>
  <si>
    <t>Discount period</t>
  </si>
  <si>
    <t>#</t>
  </si>
  <si>
    <t>Discount factor</t>
  </si>
  <si>
    <t>Present Value of Unlevered Free Cash Flow</t>
  </si>
  <si>
    <t>DCF Value - Perpetuity Growth</t>
  </si>
  <si>
    <t>Terminal Value - Perpetuity Growth</t>
  </si>
  <si>
    <t>Perpetuity growth rate</t>
  </si>
  <si>
    <t>PV of Terminal Value</t>
  </si>
  <si>
    <t>Terminal Value</t>
  </si>
  <si>
    <t>Implied Enterprise Value</t>
  </si>
  <si>
    <t>Implied Exit Multiple</t>
  </si>
  <si>
    <t>Less: Debt</t>
  </si>
  <si>
    <t>Add: Cash</t>
  </si>
  <si>
    <t>Implied Value Per Share</t>
  </si>
  <si>
    <t>Steps</t>
  </si>
  <si>
    <t>Perpetuity Growth Rate</t>
  </si>
  <si>
    <t>Perp. Growth</t>
  </si>
  <si>
    <t>Implied Equity Value</t>
  </si>
  <si>
    <t>Diluted shares</t>
  </si>
  <si>
    <t>WACC</t>
  </si>
  <si>
    <t>Enterprise Value</t>
  </si>
  <si>
    <t>Enterprise Value Multiples</t>
  </si>
  <si>
    <t xml:space="preserve">Share price </t>
  </si>
  <si>
    <t xml:space="preserve">Diluted Shares </t>
  </si>
  <si>
    <t>Equity Value</t>
  </si>
  <si>
    <t>Total Debt</t>
  </si>
  <si>
    <t>Cash</t>
  </si>
  <si>
    <t>Market</t>
  </si>
  <si>
    <t>Enterprise</t>
  </si>
  <si>
    <t xml:space="preserve">  Enterprise Value / Revenue</t>
  </si>
  <si>
    <t xml:space="preserve">  Enterprise Value / EBITDA</t>
  </si>
  <si>
    <t>Company</t>
  </si>
  <si>
    <t>Value</t>
  </si>
  <si>
    <t>LTM</t>
  </si>
  <si>
    <t>Source: S&amp;P Capital IQ, and company information</t>
  </si>
  <si>
    <t xml:space="preserve">High </t>
  </si>
  <si>
    <t xml:space="preserve">Mean </t>
  </si>
  <si>
    <t xml:space="preserve">Median </t>
  </si>
  <si>
    <t xml:space="preserve">Low </t>
  </si>
  <si>
    <t>Key:</t>
  </si>
  <si>
    <t>Linked Cell - No Action Required:</t>
  </si>
  <si>
    <t>Black</t>
  </si>
  <si>
    <t xml:space="preserve">Hard Input - No Action Required: </t>
  </si>
  <si>
    <t>Blue</t>
  </si>
  <si>
    <t>Empty - Action Required:</t>
  </si>
  <si>
    <t>Complete - Correct Output</t>
  </si>
  <si>
    <t>Y</t>
  </si>
  <si>
    <t>Complete - Incorrect Output</t>
  </si>
  <si>
    <t>Analyst Actions:</t>
  </si>
  <si>
    <r>
      <t>You will be scored based on the following:
- Correct cell output
- Correct use of formulas (</t>
    </r>
    <r>
      <rPr>
        <b/>
        <sz val="11"/>
        <color rgb="FFFF0000"/>
        <rFont val="Calibri"/>
        <family val="2"/>
        <scheme val="minor"/>
      </rPr>
      <t>don't hardcode</t>
    </r>
    <r>
      <rPr>
        <sz val="11"/>
        <color theme="1"/>
        <rFont val="Calibri"/>
        <family val="2"/>
        <scheme val="minor"/>
      </rPr>
      <t xml:space="preserve">)
- Speed (make sure you submit before the time limit)
(Make sure to focus more on accuracy and quality, rather than speed)
- You will need to refer to the videos to support your working through the valuation model.
- You will only be able to take this simulation once. Make sure you have charge on your laptop and a fully functioning Microsoft Excel. 
If you do require any support please email massupport@amplifyme.com or your course facilitator. </t>
    </r>
  </si>
  <si>
    <t>Task 5</t>
  </si>
  <si>
    <t>Tesla Inc</t>
  </si>
  <si>
    <t>TSLA</t>
  </si>
  <si>
    <r>
      <t>Depreciation &amp; Amortization</t>
    </r>
    <r>
      <rPr>
        <vertAlign val="superscript"/>
        <sz val="11"/>
        <color theme="1"/>
        <rFont val="Calibri"/>
        <family val="2"/>
        <scheme val="minor"/>
      </rPr>
      <t>1</t>
    </r>
  </si>
  <si>
    <t>(1) Source: ValueInvesting.io</t>
  </si>
  <si>
    <t>Capex as a % of Revenue</t>
  </si>
  <si>
    <t xml:space="preserve"> </t>
  </si>
  <si>
    <t>DCF Drivers</t>
  </si>
  <si>
    <t>Trade Receivables</t>
  </si>
  <si>
    <t>Trade Payables</t>
  </si>
  <si>
    <t>Trade Receievables % of revenue</t>
  </si>
  <si>
    <t>Trade Payables % of COGS</t>
  </si>
  <si>
    <t>Inventory as % of COGS</t>
  </si>
  <si>
    <t>(1) Implied Shares Outstanding of common equity, assuming the conversion of all convertible subsidiary equity into common.</t>
  </si>
  <si>
    <t>Trading Comparables</t>
  </si>
  <si>
    <t>Enterprise Value Analysis</t>
  </si>
  <si>
    <t>Football Field - Valuation Range</t>
  </si>
  <si>
    <t>Cash Equivalents</t>
  </si>
  <si>
    <t>All financials calendarized to December year end</t>
  </si>
  <si>
    <t>52 Week High</t>
  </si>
  <si>
    <t>52 Week Low</t>
  </si>
  <si>
    <t>Revenue Assumptions</t>
  </si>
  <si>
    <t xml:space="preserve">Option chosen: </t>
  </si>
  <si>
    <t xml:space="preserve">Justification: </t>
  </si>
  <si>
    <t>Option 1: Historic Growth Rate</t>
  </si>
  <si>
    <t>Option 2: Market Growth Rate</t>
  </si>
  <si>
    <t>Option 3: Broker forecasts</t>
  </si>
  <si>
    <t>Date</t>
  </si>
  <si>
    <t>High</t>
  </si>
  <si>
    <t>Low</t>
  </si>
  <si>
    <t>Max share price at close of day</t>
  </si>
  <si>
    <t>Min share price at close of day</t>
  </si>
  <si>
    <t>Restructuring and other</t>
  </si>
  <si>
    <r>
      <t>– Tax Provision</t>
    </r>
    <r>
      <rPr>
        <vertAlign val="superscript"/>
        <sz val="11"/>
        <color theme="1"/>
        <rFont val="Calibri"/>
        <family val="2"/>
        <scheme val="minor"/>
      </rPr>
      <t>1</t>
    </r>
    <r>
      <rPr>
        <sz val="11"/>
        <color theme="1"/>
        <rFont val="Calibri"/>
        <family val="2"/>
        <scheme val="minor"/>
      </rPr>
      <t xml:space="preserve"> (Income)</t>
    </r>
  </si>
  <si>
    <t>– Interest Income (Expense)</t>
  </si>
  <si>
    <t>– Other Income (Expense)</t>
  </si>
  <si>
    <t>– Net (loss) income attributable to noncontrolling interests and redeemable noncontrolling interests
in subsidiaries</t>
  </si>
  <si>
    <t>Net Income attributable to common stockholderes</t>
  </si>
  <si>
    <t>Add: Short Term Investments</t>
  </si>
  <si>
    <t>BYD</t>
  </si>
  <si>
    <t>Rivian</t>
  </si>
  <si>
    <t>General Motors</t>
  </si>
  <si>
    <t>Volkswagen</t>
  </si>
  <si>
    <t>Blink Charging</t>
  </si>
  <si>
    <t>Lucid Group</t>
  </si>
  <si>
    <t>Meta Inc</t>
  </si>
  <si>
    <t>Alphabet Inc</t>
  </si>
  <si>
    <t>Nvidia Inc</t>
  </si>
  <si>
    <t>FY1</t>
  </si>
  <si>
    <t>NA</t>
  </si>
  <si>
    <t>DCF</t>
  </si>
  <si>
    <t>EV/Revenue LTM</t>
  </si>
  <si>
    <t>EV/Revenue FY1</t>
  </si>
  <si>
    <t>EV/EBITDA LTM</t>
  </si>
  <si>
    <t>EV/EBITDA FY1</t>
  </si>
  <si>
    <t>Gap</t>
  </si>
  <si>
    <t>Task 6</t>
  </si>
  <si>
    <t>Market Growth Rate</t>
  </si>
  <si>
    <t>Broker Forecasts</t>
  </si>
  <si>
    <t xml:space="preserve">The second way to forecast revenue is to use market data to project future revenue growth. You will be able to extrapolate revenue growth using the following: </t>
  </si>
  <si>
    <t xml:space="preserve">Tesla current market share: </t>
  </si>
  <si>
    <t>EV market share growth 5-year CAGR</t>
  </si>
  <si>
    <t>Source: Visual Capitalist</t>
  </si>
  <si>
    <t>Source: Statista</t>
  </si>
  <si>
    <t>Tesla annual growth in market share</t>
  </si>
  <si>
    <t>E.g. 19.9% * 1.08</t>
  </si>
  <si>
    <t>Market Revenue</t>
  </si>
  <si>
    <t>JP Morgan</t>
  </si>
  <si>
    <t>Bank of America</t>
  </si>
  <si>
    <t>Deutsche Bank</t>
  </si>
  <si>
    <t>Citi</t>
  </si>
  <si>
    <t>Goldman Sachs</t>
  </si>
  <si>
    <t>Average</t>
  </si>
  <si>
    <t>Historic Growth Rate</t>
  </si>
  <si>
    <t xml:space="preserve"> - </t>
  </si>
  <si>
    <t xml:space="preserve">Task 3 </t>
  </si>
  <si>
    <t>One way to forecast revenue is to project revenue using historic revenue growth. You will need to calculate revenue growth rate between 2022 and 2023, decreasing this % growth rate by 2% per year to 2028.</t>
  </si>
  <si>
    <t>Video 1</t>
  </si>
  <si>
    <t>WorksheetName</t>
  </si>
  <si>
    <t>Range</t>
  </si>
  <si>
    <t>Comparison</t>
  </si>
  <si>
    <t>Simple Operating Model</t>
  </si>
  <si>
    <t>Valuation Football Field: Tesla Inc</t>
  </si>
  <si>
    <t>L10</t>
  </si>
  <si>
    <t>J15</t>
  </si>
  <si>
    <t>M17</t>
  </si>
  <si>
    <t>K22</t>
  </si>
  <si>
    <t>L27</t>
  </si>
  <si>
    <t>N29</t>
  </si>
  <si>
    <t>F49</t>
  </si>
  <si>
    <t>F53</t>
  </si>
  <si>
    <t>F60</t>
  </si>
  <si>
    <t>E94</t>
  </si>
  <si>
    <t>E95</t>
  </si>
  <si>
    <t>For Low valuation range use Mean (as opposed to Low)</t>
  </si>
  <si>
    <t>K140:N140</t>
  </si>
  <si>
    <t>K141:N141</t>
  </si>
  <si>
    <t>F150</t>
  </si>
  <si>
    <t>H150</t>
  </si>
  <si>
    <t>F152</t>
  </si>
  <si>
    <t>H152</t>
  </si>
  <si>
    <t>H151</t>
  </si>
  <si>
    <t>H153</t>
  </si>
  <si>
    <t>Income Statement Assumptions</t>
  </si>
  <si>
    <t>I30:M30</t>
  </si>
  <si>
    <t>I39:M39</t>
  </si>
  <si>
    <t>I40:M40</t>
  </si>
  <si>
    <t>F151</t>
  </si>
  <si>
    <t>F153</t>
  </si>
  <si>
    <t>Task 7</t>
  </si>
  <si>
    <t>Review</t>
  </si>
  <si>
    <t>What elements of the above model (financial statements, EV, valuation assumptions, DCF) would you change to improve the accuracy of Tesla's valuation?</t>
  </si>
  <si>
    <t>There are three comps that you need to exclude from this list. The comps included in your high, mean, median and low calculations should be companies in the same industry (Autos) or wider industry infrastructure (EV charging/components).</t>
  </si>
  <si>
    <t>Research Forecasts</t>
  </si>
  <si>
    <t>Option 3: Research Forecasts</t>
  </si>
  <si>
    <t>(no red/green conditional formatting)</t>
  </si>
  <si>
    <t>Revenue Assumptions Recap:</t>
  </si>
  <si>
    <t>Pick your preferred assumption!</t>
  </si>
  <si>
    <t>Task</t>
  </si>
  <si>
    <t>CorrVal</t>
  </si>
  <si>
    <t>J116:K116</t>
  </si>
  <si>
    <t>DataTable</t>
  </si>
  <si>
    <t>NWC</t>
  </si>
  <si>
    <t>E96</t>
  </si>
  <si>
    <t>E100</t>
  </si>
  <si>
    <t>E102</t>
  </si>
  <si>
    <t>H100</t>
  </si>
  <si>
    <t>H103</t>
  </si>
  <si>
    <t>K100</t>
  </si>
  <si>
    <t>I101:M105</t>
  </si>
  <si>
    <t>G120</t>
  </si>
  <si>
    <t>J117:K117</t>
  </si>
  <si>
    <t>K142:N142</t>
  </si>
  <si>
    <t>F154</t>
  </si>
  <si>
    <t>H154</t>
  </si>
  <si>
    <t>F155</t>
  </si>
  <si>
    <t>H155</t>
  </si>
  <si>
    <t>J79:N79</t>
  </si>
  <si>
    <t>J81:N81</t>
  </si>
  <si>
    <t>Amounts in millions as of 28 April 2026</t>
  </si>
  <si>
    <t>(1) As of April 28th, based on the current 10-year U.S. Treasury Bond Yield</t>
  </si>
  <si>
    <t>(3) Damodaran Implied ERP - start of 2026</t>
  </si>
  <si>
    <t>EV/Revenue</t>
  </si>
  <si>
    <t>EV/EBITDA</t>
  </si>
  <si>
    <t>Amounts in millions as of April 28th 2026</t>
  </si>
  <si>
    <t>LTM = FY2026</t>
  </si>
  <si>
    <t>Number</t>
  </si>
  <si>
    <t>NASDAQ Close</t>
  </si>
  <si>
    <t>Return NASDAQ</t>
  </si>
  <si>
    <t>Results</t>
  </si>
  <si>
    <t>Method #1</t>
  </si>
  <si>
    <t>=COVARIANCE.S(F6:F257,G6:G257)</t>
  </si>
  <si>
    <t>Variance of NASDAQ</t>
  </si>
  <si>
    <t>=VAR.S(G6:G257)</t>
  </si>
  <si>
    <t>=J8/J9</t>
  </si>
  <si>
    <t>Method #2</t>
  </si>
  <si>
    <t>=SLOPE(F6:F257,G6:G257)</t>
  </si>
  <si>
    <t>Stock Beta (Tesla) - 12m Daily</t>
  </si>
  <si>
    <t>TSLA Close</t>
  </si>
  <si>
    <t>Return TSLA</t>
  </si>
  <si>
    <t>TSLA Beta</t>
  </si>
  <si>
    <t>Covariance of Tesla &amp; NASDAQ</t>
  </si>
  <si>
    <t>Method</t>
  </si>
  <si>
    <t>(2) TSLA 12m Daily Returns</t>
  </si>
  <si>
    <t>H38:M38</t>
  </si>
  <si>
    <t>I41:M41</t>
  </si>
  <si>
    <t>K139:N139</t>
  </si>
  <si>
    <t>One way to forecast revenue is to project revenue using historic revenue growth. You will need to calculate revenue growth rate between 2024 and 2025, decreasing this % growth rate by 2% per year to 2030.</t>
  </si>
  <si>
    <t>LTM = FY2025</t>
  </si>
  <si>
    <t>N114</t>
  </si>
  <si>
    <t>N115</t>
  </si>
  <si>
    <t>It was the most familiar to me</t>
  </si>
  <si>
    <t>Nothing, this experience was very interesting and I felt it was very straight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</si>
</sst>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quot;FY&quot;0\A"/>
    <numFmt numFmtId="165" formatCode="&quot;FY&quot;0\E"/>
    <numFmt numFmtId="166" formatCode="_(* #,##0_);_(* \(#,##0\);_(* \–\ ?;_(@_)"/>
    <numFmt numFmtId="167" formatCode="#,##0.0%_);\(#,##0.0%\)"/>
    <numFmt numFmtId="168" formatCode="_(* #,##0_);_(* \(#,##0\);_(* &quot;-&quot;??_);_(@_)"/>
    <numFmt numFmtId="169" formatCode="0.0%"/>
    <numFmt numFmtId="170" formatCode="#,##0.00%_);\(#,##0.00%\)"/>
    <numFmt numFmtId="171" formatCode="_)0"/>
    <numFmt numFmtId="172" formatCode="#,##0.0\x_)"/>
    <numFmt numFmtId="173" formatCode="0.00%_);\(0.00%\)"/>
    <numFmt numFmtId="174" formatCode="#,##0.00\x_);&quot;NM &quot;;\-_)"/>
    <numFmt numFmtId="175" formatCode="0.0\x;\(0.0\x\)"/>
    <numFmt numFmtId="176" formatCode="_(* #,##0.00_);_(* \(#,##0.00\);_(* \–\ ?;_(@_)"/>
    <numFmt numFmtId="177" formatCode="0.0&quot;x&quot;"/>
    <numFmt numFmtId="178" formatCode="#,##0.0000000000000"/>
    <numFmt numFmtId="179" formatCode="#,##0.00000000000000"/>
    <numFmt numFmtId="180" formatCode="0.000%"/>
    <numFmt numFmtId="181" formatCode="#,##0;\(#,##0\);\-"/>
    <numFmt numFmtId="182" formatCode="0.000"/>
    <numFmt numFmtId="183" formatCode="_(* #,##0.000_);_(* \(#,##0.000\);_(* &quot;-&quot;??_);_(@_)"/>
    <numFmt numFmtId="184" formatCode="0.0000000000000000%"/>
  </numFmts>
  <fonts count="6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3"/>
      <color theme="1"/>
      <name val="Calibri"/>
      <family val="2"/>
      <scheme val="minor"/>
    </font>
    <font>
      <b/>
      <sz val="11"/>
      <color rgb="FF0000FF"/>
      <name val="Calibri"/>
      <family val="2"/>
      <scheme val="minor"/>
    </font>
    <font>
      <sz val="11"/>
      <color rgb="FFC00000"/>
      <name val="Calibri"/>
      <family val="2"/>
      <scheme val="minor"/>
    </font>
    <font>
      <b/>
      <sz val="11"/>
      <color theme="4"/>
      <name val="Calibri"/>
      <family val="2"/>
      <scheme val="minor"/>
    </font>
    <font>
      <i/>
      <sz val="9"/>
      <name val="Calibri"/>
      <family val="2"/>
      <scheme val="minor"/>
    </font>
    <font>
      <b/>
      <sz val="11"/>
      <name val="Calibri"/>
      <family val="2"/>
      <scheme val="minor"/>
    </font>
    <font>
      <sz val="11"/>
      <color theme="0" tint="-0.34998626667073579"/>
      <name val="Calibri"/>
      <family val="2"/>
      <scheme val="minor"/>
    </font>
    <font>
      <sz val="11"/>
      <name val="Calibri"/>
      <family val="2"/>
      <scheme val="minor"/>
    </font>
    <font>
      <sz val="11"/>
      <color rgb="FF0000FF"/>
      <name val="Calibri"/>
      <family val="2"/>
      <scheme val="minor"/>
    </font>
    <font>
      <i/>
      <sz val="11"/>
      <color theme="1"/>
      <name val="Calibri"/>
      <family val="2"/>
      <scheme val="minor"/>
    </font>
    <font>
      <b/>
      <sz val="11"/>
      <color rgb="FF000000"/>
      <name val="Calibri"/>
      <family val="2"/>
      <scheme val="minor"/>
    </font>
    <font>
      <b/>
      <sz val="11"/>
      <color theme="0" tint="-0.34998626667073579"/>
      <name val="Calibri"/>
      <family val="2"/>
      <scheme val="minor"/>
    </font>
    <font>
      <sz val="9"/>
      <color theme="0" tint="-0.249977111117893"/>
      <name val="Calibri"/>
      <family val="2"/>
      <scheme val="minor"/>
    </font>
    <font>
      <b/>
      <sz val="11"/>
      <color rgb="FF336699"/>
      <name val="Calibri"/>
      <family val="2"/>
      <scheme val="minor"/>
    </font>
    <font>
      <i/>
      <sz val="11"/>
      <color theme="0" tint="-0.34998626667073579"/>
      <name val="Calibri"/>
      <family val="2"/>
      <scheme val="minor"/>
    </font>
    <font>
      <i/>
      <sz val="11"/>
      <color rgb="FF0000FF"/>
      <name val="Calibri"/>
      <family val="2"/>
      <scheme val="minor"/>
    </font>
    <font>
      <i/>
      <sz val="11"/>
      <color rgb="FF000000"/>
      <name val="Calibri"/>
      <family val="2"/>
      <scheme val="minor"/>
    </font>
    <font>
      <sz val="9"/>
      <color theme="1"/>
      <name val="Calibri"/>
      <family val="2"/>
      <scheme val="minor"/>
    </font>
    <font>
      <b/>
      <sz val="10"/>
      <name val="Calibri"/>
      <family val="2"/>
      <scheme val="minor"/>
    </font>
    <font>
      <vertAlign val="subscript"/>
      <sz val="10"/>
      <name val="Calibri"/>
      <family val="2"/>
      <scheme val="minor"/>
    </font>
    <font>
      <b/>
      <vertAlign val="superscript"/>
      <sz val="9"/>
      <color theme="1"/>
      <name val="Calibri"/>
      <family val="2"/>
      <scheme val="minor"/>
    </font>
    <font>
      <b/>
      <vertAlign val="subscript"/>
      <sz val="8"/>
      <name val="Calibri"/>
      <family val="2"/>
      <scheme val="minor"/>
    </font>
    <font>
      <b/>
      <vertAlign val="superscript"/>
      <sz val="9"/>
      <name val="Calibri"/>
      <family val="2"/>
      <scheme val="minor"/>
    </font>
    <font>
      <vertAlign val="superscript"/>
      <sz val="9"/>
      <color theme="1"/>
      <name val="Calibri"/>
      <family val="2"/>
      <scheme val="minor"/>
    </font>
    <font>
      <sz val="8"/>
      <name val="Calibri"/>
      <family val="2"/>
      <scheme val="minor"/>
    </font>
    <font>
      <sz val="10"/>
      <color rgb="FF000000"/>
      <name val="Arial"/>
      <family val="2"/>
    </font>
    <font>
      <sz val="11"/>
      <color rgb="FF000000"/>
      <name val="Calibri"/>
      <family val="2"/>
      <scheme val="minor"/>
    </font>
    <font>
      <sz val="11"/>
      <color indexed="12"/>
      <name val="Calibri"/>
      <family val="2"/>
      <scheme val="minor"/>
    </font>
    <font>
      <b/>
      <sz val="11"/>
      <color rgb="FFFF0000"/>
      <name val="Calibri"/>
      <family val="2"/>
      <scheme val="minor"/>
    </font>
    <font>
      <b/>
      <sz val="11"/>
      <color rgb="FFC00000"/>
      <name val="Calibri"/>
      <family val="2"/>
      <scheme val="minor"/>
    </font>
    <font>
      <b/>
      <sz val="9"/>
      <color theme="0" tint="-0.249977111117893"/>
      <name val="Calibri"/>
      <family val="2"/>
      <scheme val="minor"/>
    </font>
    <font>
      <b/>
      <sz val="13"/>
      <color rgb="FFC00000"/>
      <name val="Calibri"/>
      <family val="2"/>
      <scheme val="minor"/>
    </font>
    <font>
      <b/>
      <i/>
      <sz val="11"/>
      <color rgb="FFC00000"/>
      <name val="Calibri"/>
      <family val="2"/>
      <scheme val="minor"/>
    </font>
    <font>
      <vertAlign val="superscript"/>
      <sz val="11"/>
      <color theme="1"/>
      <name val="Calibri"/>
      <family val="2"/>
      <scheme val="minor"/>
    </font>
    <font>
      <sz val="7"/>
      <color rgb="FF232A31"/>
      <name val="Arial"/>
      <family val="2"/>
    </font>
    <font>
      <b/>
      <sz val="10"/>
      <color theme="1"/>
      <name val="Calibri"/>
      <family val="2"/>
      <scheme val="minor"/>
    </font>
    <font>
      <b/>
      <i/>
      <sz val="11"/>
      <color theme="1"/>
      <name val="Calibri"/>
      <family val="2"/>
      <scheme val="minor"/>
    </font>
    <font>
      <u/>
      <sz val="11"/>
      <color theme="10"/>
      <name val="Calibri"/>
      <family val="2"/>
      <scheme val="minor"/>
    </font>
    <font>
      <i/>
      <u/>
      <sz val="11"/>
      <color theme="10"/>
      <name val="Calibri"/>
      <family val="2"/>
      <scheme val="minor"/>
    </font>
    <font>
      <sz val="12"/>
      <color rgb="FFFFFFFF"/>
      <name val="Arial"/>
      <family val="2"/>
    </font>
    <font>
      <sz val="11"/>
      <color rgb="FFFF0000"/>
      <name val="Calibri"/>
      <family val="2"/>
      <scheme val="minor"/>
    </font>
    <font>
      <b/>
      <sz val="13"/>
      <color rgb="FFFF000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9"/>
      <color indexed="81"/>
      <name val="Tahoma"/>
      <family val="2"/>
    </font>
    <font>
      <b/>
      <sz val="9"/>
      <color indexed="81"/>
      <name val="Tahoma"/>
      <family val="2"/>
    </font>
    <font>
      <sz val="10"/>
      <color theme="1"/>
      <name val="Montserrat"/>
    </font>
    <font>
      <b/>
      <sz val="10"/>
      <color theme="1"/>
      <name val="Montserrat"/>
    </font>
    <font>
      <b/>
      <sz val="10"/>
      <color theme="0"/>
      <name val="Montserrat"/>
    </font>
    <font>
      <b/>
      <sz val="10"/>
      <color rgb="FF000000"/>
      <name val="Montserrat"/>
    </font>
    <font>
      <sz val="10"/>
      <color theme="1"/>
      <name val="Calibri"/>
      <family val="2"/>
      <scheme val="minor"/>
    </font>
    <font>
      <sz val="10"/>
      <color rgb="FF000000"/>
      <name val="Montserrat"/>
    </font>
    <font>
      <b/>
      <sz val="11"/>
      <color rgb="FFCC0000"/>
      <name val="Calibri"/>
      <family val="2"/>
      <scheme val="minor"/>
    </font>
    <font>
      <sz val="11"/>
      <color rgb="FFCC0000"/>
      <name val="Calibri"/>
      <family val="2"/>
      <scheme val="minor"/>
    </font>
    <font>
      <b/>
      <sz val="13"/>
      <color rgb="FFCC0000"/>
      <name val="Calibri"/>
      <family val="2"/>
      <scheme val="minor"/>
    </font>
    <font>
      <i/>
      <u/>
      <sz val="11"/>
      <color rgb="FFCC000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336699"/>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indexed="9"/>
        <bgColor indexed="64"/>
      </patternFill>
    </fill>
    <fill>
      <patternFill patternType="solid">
        <fgColor rgb="FFFFFFCC"/>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bgColor rgb="FFD9D9D9"/>
      </patternFill>
    </fill>
    <fill>
      <patternFill patternType="solid">
        <fgColor rgb="FFCC0000"/>
        <bgColor indexed="64"/>
      </patternFill>
    </fill>
    <fill>
      <patternFill patternType="solid">
        <fgColor theme="1"/>
        <bgColor indexed="64"/>
      </patternFill>
    </fill>
  </fills>
  <borders count="69">
    <border>
      <left/>
      <right/>
      <top/>
      <bottom/>
      <diagonal/>
    </border>
    <border>
      <left/>
      <right/>
      <top style="thick">
        <color theme="4" tint="-0.24994659260841701"/>
      </top>
      <bottom/>
      <diagonal/>
    </border>
    <border>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style="thin">
        <color theme="0"/>
      </top>
      <bottom/>
      <diagonal/>
    </border>
    <border>
      <left/>
      <right/>
      <top style="thin">
        <color theme="0" tint="-0.24994659260841701"/>
      </top>
      <bottom style="thin">
        <color theme="0" tint="-0.24994659260841701"/>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thin">
        <color theme="0" tint="-0.249977111117893"/>
      </left>
      <right style="thin">
        <color indexed="64"/>
      </right>
      <top style="thin">
        <color theme="0" tint="-0.249977111117893"/>
      </top>
      <bottom style="thin">
        <color theme="0" tint="-0.249977111117893"/>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thin">
        <color rgb="FFC00000"/>
      </top>
      <bottom style="medium">
        <color rgb="FFC00000"/>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theme="8" tint="0.39994506668294322"/>
      </top>
      <bottom/>
      <diagonal/>
    </border>
    <border>
      <left/>
      <right/>
      <top style="thin">
        <color theme="4" tint="0.79998168889431442"/>
      </top>
      <bottom/>
      <diagonal/>
    </border>
    <border>
      <left style="thin">
        <color indexed="64"/>
      </left>
      <right style="thin">
        <color indexed="64"/>
      </right>
      <top style="thin">
        <color indexed="64"/>
      </top>
      <bottom/>
      <diagonal/>
    </border>
    <border>
      <left/>
      <right/>
      <top style="medium">
        <color auto="1"/>
      </top>
      <bottom style="medium">
        <color theme="0"/>
      </bottom>
      <diagonal/>
    </border>
    <border>
      <left/>
      <right/>
      <top style="thin">
        <color rgb="FFFF0000"/>
      </top>
      <bottom style="medium">
        <color rgb="FFFF0000"/>
      </bottom>
      <diagonal/>
    </border>
    <border>
      <left/>
      <right/>
      <top/>
      <bottom style="thin">
        <color theme="0"/>
      </bottom>
      <diagonal/>
    </border>
    <border>
      <left/>
      <right style="thin">
        <color indexed="64"/>
      </right>
      <top/>
      <bottom style="thin">
        <color theme="0"/>
      </bottom>
      <diagonal/>
    </border>
    <border>
      <left style="thin">
        <color theme="0"/>
      </left>
      <right/>
      <top/>
      <bottom style="thin">
        <color theme="0"/>
      </bottom>
      <diagonal/>
    </border>
    <border>
      <left/>
      <right/>
      <top style="thin">
        <color theme="0"/>
      </top>
      <bottom style="thin">
        <color theme="0"/>
      </bottom>
      <diagonal/>
    </border>
    <border>
      <left/>
      <right style="medium">
        <color theme="0"/>
      </right>
      <top style="thin">
        <color theme="0"/>
      </top>
      <bottom style="thin">
        <color theme="0"/>
      </bottom>
      <diagonal/>
    </border>
    <border>
      <left style="medium">
        <color theme="0"/>
      </left>
      <right/>
      <top style="thin">
        <color theme="0"/>
      </top>
      <bottom style="thin">
        <color theme="0"/>
      </bottom>
      <diagonal/>
    </border>
    <border>
      <left/>
      <right/>
      <top/>
      <bottom style="thin">
        <color theme="0" tint="-0.24994659260841701"/>
      </bottom>
      <diagonal/>
    </border>
    <border>
      <left/>
      <right style="thin">
        <color theme="1"/>
      </right>
      <top style="thin">
        <color theme="0" tint="-0.24994659260841701"/>
      </top>
      <bottom style="thin">
        <color theme="0" tint="-0.24994659260841701"/>
      </bottom>
      <diagonal/>
    </border>
    <border>
      <left/>
      <right style="thin">
        <color theme="1"/>
      </right>
      <top/>
      <bottom style="thin">
        <color theme="0" tint="-0.24994659260841701"/>
      </bottom>
      <diagonal/>
    </border>
    <border>
      <left/>
      <right style="thin">
        <color indexed="64"/>
      </right>
      <top style="thin">
        <color theme="0"/>
      </top>
      <bottom style="thin">
        <color theme="0"/>
      </bottom>
      <diagonal/>
    </border>
    <border>
      <left/>
      <right style="thin">
        <color theme="4" tint="0.59999389629810485"/>
      </right>
      <top/>
      <bottom/>
      <diagonal/>
    </border>
    <border>
      <left/>
      <right style="thin">
        <color theme="0"/>
      </right>
      <top/>
      <bottom/>
      <diagonal/>
    </border>
    <border>
      <left style="thin">
        <color indexed="64"/>
      </left>
      <right style="thin">
        <color theme="0"/>
      </right>
      <top style="thin">
        <color indexed="64"/>
      </top>
      <bottom style="double">
        <color indexed="64"/>
      </bottom>
      <diagonal/>
    </border>
    <border>
      <left style="thin">
        <color theme="0"/>
      </left>
      <right/>
      <top style="thin">
        <color indexed="64"/>
      </top>
      <bottom style="double">
        <color indexed="64"/>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rgb="FFCC0000"/>
      </top>
      <bottom style="medium">
        <color rgb="FFCC0000"/>
      </bottom>
      <diagonal/>
    </border>
    <border>
      <left/>
      <right/>
      <top/>
      <bottom style="medium">
        <color rgb="FFCC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14999847407452621"/>
      </right>
      <top style="thin">
        <color theme="0" tint="-0.14999847407452621"/>
      </top>
      <bottom style="thin">
        <color theme="0" tint="-0.14999847407452621"/>
      </bottom>
      <diagonal/>
    </border>
    <border>
      <left/>
      <right style="thin">
        <color indexed="64"/>
      </right>
      <top style="thin">
        <color theme="0"/>
      </top>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theme="0" tint="-0.249977111117893"/>
      </left>
      <right style="thin">
        <color indexed="64"/>
      </right>
      <top style="thin">
        <color theme="0" tint="-0.249977111117893"/>
      </top>
      <bottom style="thin">
        <color indexed="64"/>
      </bottom>
      <diagonal/>
    </border>
    <border>
      <left/>
      <right style="thin">
        <color theme="0"/>
      </right>
      <top style="thin">
        <color indexed="64"/>
      </top>
      <bottom style="double">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30" fillId="0" borderId="0"/>
    <xf numFmtId="0" fontId="1" fillId="0" borderId="0"/>
    <xf numFmtId="0" fontId="42" fillId="0" borderId="0" applyNumberFormat="0" applyFill="0" applyBorder="0" applyAlignment="0" applyProtection="0"/>
    <xf numFmtId="0" fontId="47" fillId="13" borderId="0" applyNumberFormat="0" applyBorder="0" applyAlignment="0" applyProtection="0"/>
    <xf numFmtId="0" fontId="48" fillId="14" borderId="0" applyNumberFormat="0" applyBorder="0" applyAlignment="0" applyProtection="0"/>
    <xf numFmtId="0" fontId="49" fillId="15" borderId="0" applyNumberFormat="0" applyBorder="0" applyAlignment="0" applyProtection="0"/>
    <xf numFmtId="0" fontId="1" fillId="0" borderId="0"/>
  </cellStyleXfs>
  <cellXfs count="463">
    <xf numFmtId="0" fontId="0" fillId="0" borderId="0" xfId="0"/>
    <xf numFmtId="0" fontId="0" fillId="0" borderId="0" xfId="0" applyProtection="1">
      <protection locked="0"/>
    </xf>
    <xf numFmtId="0" fontId="5" fillId="2" borderId="0" xfId="1" applyNumberFormat="1" applyFont="1" applyFill="1" applyBorder="1" applyAlignment="1" applyProtection="1">
      <protection locked="0"/>
    </xf>
    <xf numFmtId="43" fontId="3" fillId="2" borderId="0" xfId="1" applyFont="1" applyFill="1" applyBorder="1" applyAlignment="1" applyProtection="1">
      <alignment horizontal="left" vertical="center"/>
      <protection locked="0"/>
    </xf>
    <xf numFmtId="43" fontId="6" fillId="2" borderId="0" xfId="1" applyFont="1" applyFill="1" applyBorder="1" applyAlignment="1" applyProtection="1">
      <alignment horizontal="left" vertical="center"/>
      <protection locked="0"/>
    </xf>
    <xf numFmtId="0" fontId="3" fillId="2" borderId="1" xfId="1" applyNumberFormat="1" applyFont="1" applyFill="1" applyBorder="1" applyAlignment="1" applyProtection="1">
      <alignment horizontal="left" vertical="center"/>
      <protection locked="0"/>
    </xf>
    <xf numFmtId="43" fontId="3" fillId="2" borderId="1" xfId="1" applyFont="1" applyFill="1" applyBorder="1" applyAlignment="1" applyProtection="1">
      <alignment horizontal="left" vertical="center"/>
      <protection locked="0"/>
    </xf>
    <xf numFmtId="43" fontId="6" fillId="2" borderId="1" xfId="1" applyFont="1" applyFill="1" applyBorder="1" applyAlignment="1" applyProtection="1">
      <alignment horizontal="left" vertical="center"/>
      <protection locked="0"/>
    </xf>
    <xf numFmtId="0" fontId="7" fillId="0" borderId="0" xfId="0" applyFont="1" applyProtection="1">
      <protection locked="0"/>
    </xf>
    <xf numFmtId="0" fontId="2" fillId="3" borderId="0" xfId="0" applyFont="1" applyFill="1" applyAlignment="1" applyProtection="1">
      <alignment vertical="center"/>
      <protection locked="0"/>
    </xf>
    <xf numFmtId="0" fontId="0" fillId="3" borderId="0" xfId="0" applyFill="1" applyProtection="1">
      <protection locked="0"/>
    </xf>
    <xf numFmtId="0" fontId="2" fillId="5" borderId="0" xfId="1" applyNumberFormat="1" applyFont="1" applyFill="1" applyBorder="1" applyAlignment="1" applyProtection="1">
      <alignment horizontal="centerContinuous"/>
      <protection locked="0"/>
    </xf>
    <xf numFmtId="0" fontId="0" fillId="0" borderId="0" xfId="0" applyAlignment="1" applyProtection="1">
      <alignment horizontal="center"/>
      <protection locked="0"/>
    </xf>
    <xf numFmtId="0" fontId="9" fillId="0" borderId="0" xfId="0" applyFont="1" applyAlignment="1" applyProtection="1">
      <alignment vertical="top"/>
      <protection locked="0"/>
    </xf>
    <xf numFmtId="0" fontId="10" fillId="0" borderId="0" xfId="0" applyFont="1" applyProtection="1">
      <protection locked="0"/>
    </xf>
    <xf numFmtId="0" fontId="11" fillId="0" borderId="0" xfId="0" applyFont="1" applyAlignment="1" applyProtection="1">
      <alignment horizontal="center" vertical="center"/>
      <protection locked="0"/>
    </xf>
    <xf numFmtId="0" fontId="11" fillId="0" borderId="0" xfId="0" applyFont="1" applyProtection="1">
      <protection locked="0"/>
    </xf>
    <xf numFmtId="166" fontId="13" fillId="0" borderId="2" xfId="1" applyNumberFormat="1" applyFont="1" applyFill="1" applyBorder="1" applyProtection="1">
      <protection locked="0"/>
    </xf>
    <xf numFmtId="0" fontId="0" fillId="0" borderId="0" xfId="0" applyAlignment="1" applyProtection="1">
      <alignment horizontal="left" indent="1"/>
      <protection locked="0"/>
    </xf>
    <xf numFmtId="166" fontId="13" fillId="0" borderId="0" xfId="1" applyNumberFormat="1" applyFont="1" applyFill="1" applyBorder="1" applyProtection="1">
      <protection locked="0"/>
    </xf>
    <xf numFmtId="0" fontId="3" fillId="0" borderId="4" xfId="0" applyFont="1" applyBorder="1" applyAlignment="1" applyProtection="1">
      <alignment horizontal="left" indent="2"/>
      <protection locked="0"/>
    </xf>
    <xf numFmtId="0" fontId="11" fillId="0" borderId="4" xfId="0" applyFont="1" applyBorder="1" applyAlignment="1" applyProtection="1">
      <alignment horizontal="center" vertical="center"/>
      <protection locked="0"/>
    </xf>
    <xf numFmtId="166" fontId="10" fillId="0" borderId="4" xfId="1" applyNumberFormat="1" applyFont="1" applyFill="1" applyBorder="1" applyProtection="1">
      <protection locked="0"/>
    </xf>
    <xf numFmtId="166" fontId="10" fillId="0" borderId="5" xfId="1" applyNumberFormat="1" applyFont="1" applyFill="1" applyBorder="1" applyProtection="1">
      <protection locked="0"/>
    </xf>
    <xf numFmtId="0" fontId="3" fillId="0" borderId="0" xfId="0" applyFont="1" applyProtection="1">
      <protection locked="0"/>
    </xf>
    <xf numFmtId="168" fontId="3" fillId="0" borderId="2" xfId="1" applyNumberFormat="1" applyFont="1" applyFill="1" applyBorder="1" applyProtection="1">
      <protection locked="0"/>
    </xf>
    <xf numFmtId="168" fontId="3" fillId="0" borderId="0" xfId="1" applyNumberFormat="1" applyFont="1" applyFill="1" applyBorder="1" applyProtection="1">
      <protection locked="0"/>
    </xf>
    <xf numFmtId="0" fontId="3" fillId="0" borderId="4" xfId="0" applyFont="1" applyBorder="1" applyProtection="1">
      <protection locked="0"/>
    </xf>
    <xf numFmtId="0" fontId="3" fillId="0" borderId="4" xfId="0" applyFont="1" applyBorder="1" applyAlignment="1" applyProtection="1">
      <alignment horizontal="left"/>
      <protection locked="0"/>
    </xf>
    <xf numFmtId="166" fontId="0" fillId="0" borderId="0" xfId="0" applyNumberFormat="1" applyProtection="1">
      <protection locked="0"/>
    </xf>
    <xf numFmtId="166" fontId="0" fillId="0" borderId="2" xfId="0" applyNumberFormat="1" applyBorder="1" applyProtection="1">
      <protection locked="0"/>
    </xf>
    <xf numFmtId="166" fontId="13" fillId="0" borderId="0" xfId="0" applyNumberFormat="1" applyFont="1" applyProtection="1">
      <protection locked="0"/>
    </xf>
    <xf numFmtId="0" fontId="17" fillId="0" borderId="0" xfId="0" applyFont="1" applyProtection="1">
      <protection locked="0"/>
    </xf>
    <xf numFmtId="0" fontId="0" fillId="0" borderId="2" xfId="0" applyBorder="1"/>
    <xf numFmtId="0" fontId="18" fillId="6" borderId="0" xfId="0" applyFont="1" applyFill="1" applyProtection="1">
      <protection locked="0"/>
    </xf>
    <xf numFmtId="43" fontId="3" fillId="0" borderId="2" xfId="1" applyFont="1" applyFill="1" applyBorder="1" applyProtection="1">
      <protection locked="0"/>
    </xf>
    <xf numFmtId="0" fontId="14" fillId="0" borderId="0" xfId="0" applyFont="1" applyAlignment="1" applyProtection="1">
      <alignment horizontal="left" indent="1"/>
      <protection locked="0"/>
    </xf>
    <xf numFmtId="0" fontId="19" fillId="0" borderId="0" xfId="0" applyFont="1" applyAlignment="1" applyProtection="1">
      <alignment horizontal="center" vertical="center"/>
      <protection locked="0"/>
    </xf>
    <xf numFmtId="167" fontId="21" fillId="0" borderId="0" xfId="2" applyNumberFormat="1" applyFont="1" applyFill="1" applyAlignment="1" applyProtection="1">
      <alignment horizontal="right"/>
      <protection locked="0"/>
    </xf>
    <xf numFmtId="167" fontId="20" fillId="0" borderId="0" xfId="2" applyNumberFormat="1" applyFont="1" applyFill="1" applyBorder="1" applyProtection="1">
      <protection locked="0"/>
    </xf>
    <xf numFmtId="167" fontId="14" fillId="0" borderId="0" xfId="2" applyNumberFormat="1" applyFont="1" applyFill="1" applyBorder="1" applyProtection="1">
      <protection locked="0"/>
    </xf>
    <xf numFmtId="0" fontId="14" fillId="0" borderId="0" xfId="0" applyFont="1" applyProtection="1">
      <protection locked="0"/>
    </xf>
    <xf numFmtId="167" fontId="20" fillId="0" borderId="3" xfId="0" applyNumberFormat="1" applyFont="1" applyBorder="1" applyProtection="1">
      <protection locked="0"/>
    </xf>
    <xf numFmtId="167" fontId="14" fillId="0" borderId="0" xfId="2" applyNumberFormat="1" applyFont="1" applyFill="1" applyBorder="1" applyAlignment="1" applyProtection="1">
      <alignment horizontal="right"/>
      <protection locked="0"/>
    </xf>
    <xf numFmtId="167" fontId="20" fillId="0" borderId="0" xfId="2" applyNumberFormat="1" applyFont="1" applyFill="1" applyAlignment="1" applyProtection="1">
      <alignment horizontal="right"/>
      <protection locked="0"/>
    </xf>
    <xf numFmtId="167" fontId="14" fillId="0" borderId="0" xfId="2" applyNumberFormat="1" applyFont="1" applyFill="1" applyAlignment="1" applyProtection="1">
      <alignment horizontal="right"/>
      <protection locked="0"/>
    </xf>
    <xf numFmtId="0" fontId="11" fillId="0" borderId="8"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21" fillId="2" borderId="0" xfId="0" applyFont="1" applyFill="1" applyAlignment="1" applyProtection="1">
      <alignment horizontal="left" vertical="center" indent="1"/>
      <protection locked="0"/>
    </xf>
    <xf numFmtId="166" fontId="0" fillId="0" borderId="0" xfId="1" applyNumberFormat="1" applyFont="1" applyFill="1" applyProtection="1">
      <protection locked="0"/>
    </xf>
    <xf numFmtId="166" fontId="3" fillId="0" borderId="4" xfId="1" applyNumberFormat="1" applyFont="1" applyFill="1" applyBorder="1" applyProtection="1">
      <protection locked="0"/>
    </xf>
    <xf numFmtId="166" fontId="3" fillId="0" borderId="5" xfId="1" applyNumberFormat="1" applyFont="1" applyFill="1" applyBorder="1" applyProtection="1">
      <protection locked="0"/>
    </xf>
    <xf numFmtId="0" fontId="0" fillId="2" borderId="0" xfId="0" applyFill="1" applyAlignment="1" applyProtection="1">
      <alignment horizontal="center" vertical="center"/>
      <protection locked="0"/>
    </xf>
    <xf numFmtId="168" fontId="14" fillId="2" borderId="0" xfId="1" applyNumberFormat="1" applyFont="1" applyFill="1" applyProtection="1">
      <protection locked="0"/>
    </xf>
    <xf numFmtId="9" fontId="14" fillId="2" borderId="0" xfId="2" applyFont="1" applyFill="1" applyProtection="1">
      <protection locked="0"/>
    </xf>
    <xf numFmtId="169" fontId="20" fillId="2" borderId="0" xfId="2" applyNumberFormat="1" applyFont="1" applyFill="1" applyBorder="1" applyProtection="1">
      <protection locked="0"/>
    </xf>
    <xf numFmtId="0" fontId="23" fillId="6" borderId="0" xfId="0" applyFont="1" applyFill="1" applyAlignment="1" applyProtection="1">
      <alignment vertical="center"/>
      <protection locked="0"/>
    </xf>
    <xf numFmtId="171" fontId="25" fillId="0" borderId="0" xfId="0" applyNumberFormat="1" applyFont="1" applyAlignment="1" applyProtection="1">
      <alignment horizontal="left"/>
      <protection locked="0"/>
    </xf>
    <xf numFmtId="0" fontId="0" fillId="2" borderId="0" xfId="0" applyFill="1" applyProtection="1">
      <protection locked="0"/>
    </xf>
    <xf numFmtId="0" fontId="23" fillId="0" borderId="4" xfId="0" applyFont="1" applyBorder="1" applyAlignment="1" applyProtection="1">
      <alignment horizontal="left" indent="1"/>
      <protection locked="0"/>
    </xf>
    <xf numFmtId="0" fontId="0" fillId="0" borderId="4" xfId="0" applyBorder="1" applyProtection="1">
      <protection locked="0"/>
    </xf>
    <xf numFmtId="0" fontId="10" fillId="0" borderId="4" xfId="0" applyFont="1" applyBorder="1" applyProtection="1">
      <protection locked="0"/>
    </xf>
    <xf numFmtId="171" fontId="27" fillId="0" borderId="4" xfId="0" applyNumberFormat="1" applyFont="1" applyBorder="1" applyAlignment="1" applyProtection="1">
      <alignment horizontal="left"/>
      <protection locked="0"/>
    </xf>
    <xf numFmtId="170" fontId="12" fillId="0" borderId="0" xfId="0" applyNumberFormat="1" applyFont="1" applyProtection="1">
      <protection locked="0"/>
    </xf>
    <xf numFmtId="171" fontId="27" fillId="0" borderId="0" xfId="0" applyNumberFormat="1" applyFont="1" applyAlignment="1" applyProtection="1">
      <alignment horizontal="left"/>
      <protection locked="0"/>
    </xf>
    <xf numFmtId="0" fontId="23" fillId="0" borderId="0" xfId="0" applyFont="1" applyProtection="1">
      <protection locked="0"/>
    </xf>
    <xf numFmtId="0" fontId="0" fillId="0" borderId="4" xfId="0" applyBorder="1" applyAlignment="1" applyProtection="1">
      <alignment horizontal="left" indent="2"/>
      <protection locked="0"/>
    </xf>
    <xf numFmtId="171" fontId="28" fillId="0" borderId="0" xfId="0" applyNumberFormat="1" applyFont="1" applyProtection="1">
      <protection locked="0"/>
    </xf>
    <xf numFmtId="0" fontId="29" fillId="0" borderId="0" xfId="0" applyFont="1" applyProtection="1">
      <protection locked="0"/>
    </xf>
    <xf numFmtId="0" fontId="12" fillId="0" borderId="0" xfId="3" applyFont="1" applyAlignment="1" applyProtection="1">
      <alignment horizontal="left"/>
      <protection locked="0"/>
    </xf>
    <xf numFmtId="0" fontId="12" fillId="0" borderId="0" xfId="3" applyFont="1" applyAlignment="1" applyProtection="1">
      <alignment horizontal="left" indent="1"/>
      <protection locked="0"/>
    </xf>
    <xf numFmtId="0" fontId="10" fillId="0" borderId="0" xfId="3" applyFont="1" applyAlignment="1" applyProtection="1">
      <alignment horizontal="left"/>
      <protection locked="0"/>
    </xf>
    <xf numFmtId="166" fontId="3" fillId="0" borderId="0" xfId="1" applyNumberFormat="1" applyFont="1" applyFill="1" applyProtection="1">
      <protection locked="0"/>
    </xf>
    <xf numFmtId="0" fontId="12" fillId="0" borderId="0" xfId="3" quotePrefix="1" applyFont="1" applyAlignment="1" applyProtection="1">
      <alignment horizontal="left" indent="1"/>
      <protection locked="0"/>
    </xf>
    <xf numFmtId="0" fontId="31" fillId="0" borderId="0" xfId="3" applyFont="1" applyAlignment="1" applyProtection="1">
      <alignment horizontal="left"/>
      <protection locked="0"/>
    </xf>
    <xf numFmtId="0" fontId="10" fillId="0" borderId="8" xfId="3" applyFont="1" applyBorder="1" applyAlignment="1" applyProtection="1">
      <alignment horizontal="left"/>
      <protection locked="0"/>
    </xf>
    <xf numFmtId="170" fontId="0" fillId="0" borderId="0" xfId="0" applyNumberFormat="1" applyProtection="1">
      <protection locked="0"/>
    </xf>
    <xf numFmtId="37" fontId="0" fillId="0" borderId="0" xfId="0" applyNumberFormat="1" applyProtection="1">
      <protection locked="0"/>
    </xf>
    <xf numFmtId="0" fontId="15" fillId="0" borderId="8" xfId="3" applyFont="1" applyBorder="1" applyAlignment="1" applyProtection="1">
      <alignment horizontal="left"/>
      <protection locked="0"/>
    </xf>
    <xf numFmtId="0" fontId="31" fillId="0" borderId="8" xfId="3" applyFont="1" applyBorder="1" applyAlignment="1" applyProtection="1">
      <alignment horizontal="left"/>
      <protection locked="0"/>
    </xf>
    <xf numFmtId="0" fontId="15" fillId="6" borderId="0" xfId="3" applyFont="1" applyFill="1" applyAlignment="1" applyProtection="1">
      <alignment horizontal="left"/>
      <protection locked="0"/>
    </xf>
    <xf numFmtId="0" fontId="31" fillId="6" borderId="0" xfId="3" applyFont="1" applyFill="1" applyAlignment="1" applyProtection="1">
      <alignment horizontal="left"/>
      <protection locked="0"/>
    </xf>
    <xf numFmtId="0" fontId="15" fillId="0" borderId="0" xfId="3" applyFont="1" applyAlignment="1" applyProtection="1">
      <alignment horizontal="left"/>
      <protection locked="0"/>
    </xf>
    <xf numFmtId="0" fontId="31" fillId="0" borderId="10" xfId="3" applyFont="1" applyBorder="1" applyAlignment="1" applyProtection="1">
      <alignment horizontal="left"/>
      <protection locked="0"/>
    </xf>
    <xf numFmtId="0" fontId="0" fillId="0" borderId="10" xfId="0" applyBorder="1" applyProtection="1">
      <protection locked="0"/>
    </xf>
    <xf numFmtId="0" fontId="31" fillId="0" borderId="11" xfId="3" applyFont="1" applyBorder="1" applyAlignment="1" applyProtection="1">
      <alignment horizontal="left"/>
      <protection locked="0"/>
    </xf>
    <xf numFmtId="0" fontId="0" fillId="0" borderId="11" xfId="0" applyBorder="1" applyProtection="1">
      <protection locked="0"/>
    </xf>
    <xf numFmtId="0" fontId="10" fillId="0" borderId="4" xfId="3" applyFont="1" applyBorder="1" applyAlignment="1" applyProtection="1">
      <alignment horizontal="left" indent="1"/>
      <protection locked="0"/>
    </xf>
    <xf numFmtId="0" fontId="31" fillId="0" borderId="4" xfId="3" applyFont="1" applyBorder="1" applyAlignment="1" applyProtection="1">
      <alignment horizontal="left"/>
      <protection locked="0"/>
    </xf>
    <xf numFmtId="172" fontId="0" fillId="0" borderId="0" xfId="0" applyNumberFormat="1" applyProtection="1">
      <protection locked="0"/>
    </xf>
    <xf numFmtId="0" fontId="31" fillId="0" borderId="0" xfId="3" applyFont="1" applyProtection="1">
      <protection locked="0"/>
    </xf>
    <xf numFmtId="0" fontId="31" fillId="0" borderId="0" xfId="3" applyFont="1" applyAlignment="1" applyProtection="1">
      <alignment horizontal="center"/>
      <protection locked="0"/>
    </xf>
    <xf numFmtId="0" fontId="0" fillId="0" borderId="0" xfId="0" applyAlignment="1" applyProtection="1">
      <alignment horizontal="right"/>
      <protection locked="0"/>
    </xf>
    <xf numFmtId="173" fontId="32" fillId="0" borderId="3" xfId="3" applyNumberFormat="1" applyFont="1" applyBorder="1" applyAlignment="1" applyProtection="1">
      <alignment horizontal="center"/>
      <protection locked="0"/>
    </xf>
    <xf numFmtId="0" fontId="3" fillId="0" borderId="4" xfId="0" applyFont="1" applyBorder="1" applyAlignment="1" applyProtection="1">
      <alignment horizontal="left" indent="1"/>
      <protection locked="0"/>
    </xf>
    <xf numFmtId="166" fontId="3" fillId="0" borderId="4" xfId="0" applyNumberFormat="1" applyFont="1" applyBorder="1" applyProtection="1">
      <protection locked="0"/>
    </xf>
    <xf numFmtId="173" fontId="12" fillId="0" borderId="0" xfId="3" applyNumberFormat="1" applyFont="1" applyProtection="1">
      <protection locked="0"/>
    </xf>
    <xf numFmtId="173" fontId="31" fillId="0" borderId="0" xfId="3" applyNumberFormat="1" applyFont="1" applyProtection="1">
      <protection locked="0"/>
    </xf>
    <xf numFmtId="39" fontId="31" fillId="0" borderId="12" xfId="3" applyNumberFormat="1" applyFont="1" applyBorder="1" applyProtection="1">
      <protection locked="0"/>
    </xf>
    <xf numFmtId="39" fontId="31" fillId="0" borderId="13" xfId="3" applyNumberFormat="1" applyFont="1" applyBorder="1" applyProtection="1">
      <protection locked="0"/>
    </xf>
    <xf numFmtId="39" fontId="31" fillId="0" borderId="14" xfId="3" applyNumberFormat="1" applyFont="1" applyBorder="1" applyProtection="1">
      <protection locked="0"/>
    </xf>
    <xf numFmtId="39" fontId="31" fillId="0" borderId="0" xfId="3" applyNumberFormat="1" applyFont="1" applyProtection="1">
      <protection locked="0"/>
    </xf>
    <xf numFmtId="0" fontId="7" fillId="0" borderId="0" xfId="3" applyFont="1" applyProtection="1">
      <protection locked="0"/>
    </xf>
    <xf numFmtId="0" fontId="0" fillId="0" borderId="15" xfId="0" applyBorder="1" applyProtection="1">
      <protection locked="0"/>
    </xf>
    <xf numFmtId="0" fontId="0" fillId="2" borderId="0" xfId="0" applyFill="1" applyAlignment="1" applyProtection="1">
      <alignment horizontal="right"/>
      <protection locked="0"/>
    </xf>
    <xf numFmtId="166" fontId="12" fillId="2" borderId="0" xfId="1" applyNumberFormat="1" applyFont="1" applyFill="1" applyBorder="1" applyAlignment="1" applyProtection="1">
      <alignment horizontal="right"/>
      <protection locked="0"/>
    </xf>
    <xf numFmtId="166" fontId="0" fillId="2" borderId="0" xfId="1" applyNumberFormat="1" applyFont="1" applyFill="1" applyAlignment="1" applyProtection="1">
      <alignment horizontal="right"/>
      <protection locked="0"/>
    </xf>
    <xf numFmtId="0" fontId="3" fillId="2" borderId="4" xfId="0" applyFont="1" applyFill="1" applyBorder="1" applyProtection="1">
      <protection locked="0"/>
    </xf>
    <xf numFmtId="0" fontId="0" fillId="2" borderId="16" xfId="0" applyFill="1" applyBorder="1" applyProtection="1">
      <protection locked="0"/>
    </xf>
    <xf numFmtId="0" fontId="0" fillId="2" borderId="16" xfId="0" applyFill="1" applyBorder="1" applyAlignment="1" applyProtection="1">
      <alignment horizontal="right"/>
      <protection locked="0"/>
    </xf>
    <xf numFmtId="174" fontId="0" fillId="8" borderId="16" xfId="0" applyNumberFormat="1" applyFill="1" applyBorder="1" applyAlignment="1" applyProtection="1">
      <alignment horizontal="right" indent="2"/>
      <protection locked="0"/>
    </xf>
    <xf numFmtId="175" fontId="0" fillId="8" borderId="16" xfId="0" applyNumberFormat="1" applyFill="1" applyBorder="1" applyAlignment="1" applyProtection="1">
      <alignment horizontal="right" indent="2"/>
      <protection locked="0"/>
    </xf>
    <xf numFmtId="0" fontId="0" fillId="2" borderId="0" xfId="0" applyFill="1" applyAlignment="1" applyProtection="1">
      <alignment horizontal="right" indent="2"/>
      <protection locked="0"/>
    </xf>
    <xf numFmtId="0" fontId="0" fillId="0" borderId="0" xfId="0" applyAlignment="1" applyProtection="1">
      <alignment horizontal="right" indent="2"/>
      <protection locked="0"/>
    </xf>
    <xf numFmtId="0" fontId="22" fillId="2" borderId="0" xfId="0" applyFont="1" applyFill="1" applyProtection="1">
      <protection locked="0"/>
    </xf>
    <xf numFmtId="0" fontId="0" fillId="6" borderId="0" xfId="0" applyFill="1" applyAlignment="1" applyProtection="1">
      <alignment horizontal="right"/>
      <protection locked="0"/>
    </xf>
    <xf numFmtId="0" fontId="0" fillId="0" borderId="2" xfId="0" applyBorder="1" applyProtection="1">
      <protection locked="0"/>
    </xf>
    <xf numFmtId="0" fontId="11" fillId="2" borderId="0" xfId="0" applyFont="1" applyFill="1" applyAlignment="1" applyProtection="1">
      <alignment horizontal="center" vertical="center"/>
      <protection locked="0"/>
    </xf>
    <xf numFmtId="168" fontId="1" fillId="0" borderId="4" xfId="1" applyNumberFormat="1" applyFont="1" applyFill="1" applyBorder="1" applyProtection="1">
      <protection locked="0"/>
    </xf>
    <xf numFmtId="0" fontId="23" fillId="2" borderId="8" xfId="0" applyFont="1" applyFill="1" applyBorder="1" applyAlignment="1" applyProtection="1">
      <alignment vertical="center"/>
      <protection locked="0"/>
    </xf>
    <xf numFmtId="0" fontId="1" fillId="2" borderId="0" xfId="4" applyFill="1"/>
    <xf numFmtId="0" fontId="1" fillId="2" borderId="21" xfId="4" applyFill="1" applyBorder="1"/>
    <xf numFmtId="0" fontId="1" fillId="2" borderId="22" xfId="4" applyFill="1" applyBorder="1"/>
    <xf numFmtId="0" fontId="1" fillId="2" borderId="23" xfId="4" applyFill="1" applyBorder="1"/>
    <xf numFmtId="0" fontId="1" fillId="2" borderId="24" xfId="4" applyFill="1" applyBorder="1"/>
    <xf numFmtId="0" fontId="1" fillId="2" borderId="25" xfId="4" applyFill="1" applyBorder="1"/>
    <xf numFmtId="0" fontId="3" fillId="2" borderId="6" xfId="4" applyFont="1" applyFill="1" applyBorder="1"/>
    <xf numFmtId="0" fontId="1" fillId="2" borderId="5" xfId="4" applyFill="1" applyBorder="1"/>
    <xf numFmtId="0" fontId="1" fillId="2" borderId="17" xfId="4" applyFill="1" applyBorder="1"/>
    <xf numFmtId="0" fontId="1" fillId="2" borderId="2" xfId="4" applyFill="1" applyBorder="1" applyAlignment="1">
      <alignment horizontal="center"/>
    </xf>
    <xf numFmtId="0" fontId="13" fillId="2" borderId="2" xfId="4" applyFont="1" applyFill="1" applyBorder="1" applyAlignment="1">
      <alignment horizontal="center"/>
    </xf>
    <xf numFmtId="0" fontId="1" fillId="2" borderId="18" xfId="4" applyFill="1" applyBorder="1"/>
    <xf numFmtId="0" fontId="3" fillId="2" borderId="0" xfId="4" applyFont="1" applyFill="1"/>
    <xf numFmtId="0" fontId="1" fillId="2" borderId="27" xfId="4" applyFill="1" applyBorder="1"/>
    <xf numFmtId="0" fontId="1" fillId="2" borderId="28" xfId="4" applyFill="1" applyBorder="1"/>
    <xf numFmtId="0" fontId="1" fillId="2" borderId="29" xfId="4" applyFill="1" applyBorder="1"/>
    <xf numFmtId="0" fontId="34" fillId="0" borderId="0" xfId="0" applyFont="1" applyProtection="1">
      <protection locked="0"/>
    </xf>
    <xf numFmtId="0" fontId="35" fillId="0" borderId="0" xfId="0" applyFont="1" applyProtection="1">
      <protection locked="0"/>
    </xf>
    <xf numFmtId="0" fontId="3" fillId="2" borderId="0" xfId="1" applyNumberFormat="1" applyFont="1" applyFill="1" applyBorder="1" applyAlignment="1" applyProtection="1">
      <alignment horizontal="left" vertical="center"/>
      <protection locked="0"/>
    </xf>
    <xf numFmtId="43" fontId="3" fillId="2" borderId="30" xfId="1" applyFont="1" applyFill="1" applyBorder="1" applyAlignment="1" applyProtection="1">
      <alignment horizontal="left" vertical="center"/>
      <protection locked="0"/>
    </xf>
    <xf numFmtId="43" fontId="6" fillId="2" borderId="30" xfId="1" applyFont="1" applyFill="1" applyBorder="1" applyAlignment="1" applyProtection="1">
      <alignment horizontal="left" vertical="center"/>
      <protection locked="0"/>
    </xf>
    <xf numFmtId="0" fontId="36" fillId="2" borderId="30" xfId="1" applyNumberFormat="1" applyFont="1" applyFill="1" applyBorder="1" applyAlignment="1" applyProtection="1">
      <protection locked="0"/>
    </xf>
    <xf numFmtId="0" fontId="37" fillId="0" borderId="0" xfId="0" applyFont="1" applyProtection="1">
      <protection locked="0"/>
    </xf>
    <xf numFmtId="167" fontId="21" fillId="0" borderId="0" xfId="2" applyNumberFormat="1" applyFont="1" applyFill="1" applyBorder="1" applyAlignment="1" applyProtection="1">
      <alignment horizontal="right"/>
      <protection locked="0"/>
    </xf>
    <xf numFmtId="10" fontId="0" fillId="0" borderId="0" xfId="2" applyNumberFormat="1" applyFont="1" applyProtection="1">
      <protection locked="0"/>
    </xf>
    <xf numFmtId="0" fontId="8" fillId="4" borderId="2" xfId="0" applyFont="1" applyFill="1" applyBorder="1" applyAlignment="1" applyProtection="1">
      <alignment horizontal="centerContinuous" wrapText="1"/>
      <protection locked="0"/>
    </xf>
    <xf numFmtId="9" fontId="3" fillId="0" borderId="0" xfId="2" applyFont="1" applyProtection="1">
      <protection locked="0"/>
    </xf>
    <xf numFmtId="9" fontId="12" fillId="0" borderId="0" xfId="2" quotePrefix="1" applyFont="1" applyAlignment="1" applyProtection="1">
      <alignment horizontal="left" indent="1"/>
      <protection locked="0"/>
    </xf>
    <xf numFmtId="9" fontId="12" fillId="0" borderId="0" xfId="2" applyFont="1" applyAlignment="1" applyProtection="1">
      <alignment horizontal="left"/>
      <protection locked="0"/>
    </xf>
    <xf numFmtId="9" fontId="11" fillId="0" borderId="0" xfId="2" applyFont="1" applyAlignment="1" applyProtection="1">
      <alignment horizontal="center" vertical="center"/>
      <protection locked="0"/>
    </xf>
    <xf numFmtId="166" fontId="3" fillId="0" borderId="0" xfId="1" applyNumberFormat="1" applyFont="1" applyFill="1" applyBorder="1" applyProtection="1">
      <protection locked="0"/>
    </xf>
    <xf numFmtId="9" fontId="1" fillId="0" borderId="0" xfId="2" applyFont="1" applyProtection="1">
      <protection locked="0"/>
    </xf>
    <xf numFmtId="9" fontId="1" fillId="0" borderId="0" xfId="2" applyFont="1" applyFill="1" applyProtection="1">
      <protection locked="0"/>
    </xf>
    <xf numFmtId="9" fontId="13" fillId="0" borderId="2" xfId="2" applyFont="1" applyFill="1" applyBorder="1" applyProtection="1">
      <protection locked="0"/>
    </xf>
    <xf numFmtId="166" fontId="1" fillId="0" borderId="0" xfId="1" applyNumberFormat="1" applyFont="1" applyFill="1" applyBorder="1" applyProtection="1">
      <protection locked="0"/>
    </xf>
    <xf numFmtId="9" fontId="1" fillId="0" borderId="0" xfId="2" applyFont="1" applyFill="1" applyBorder="1" applyProtection="1">
      <protection locked="0"/>
    </xf>
    <xf numFmtId="168" fontId="1" fillId="0" borderId="0" xfId="1" applyNumberFormat="1" applyFont="1" applyFill="1" applyProtection="1">
      <protection locked="0"/>
    </xf>
    <xf numFmtId="166" fontId="13" fillId="0" borderId="9" xfId="1" applyNumberFormat="1" applyFont="1" applyFill="1" applyBorder="1" applyProtection="1">
      <protection locked="0"/>
    </xf>
    <xf numFmtId="0" fontId="39" fillId="0" borderId="0" xfId="0" applyFont="1"/>
    <xf numFmtId="0" fontId="3" fillId="0" borderId="8" xfId="0" applyFont="1" applyBorder="1" applyProtection="1">
      <protection locked="0"/>
    </xf>
    <xf numFmtId="166" fontId="10" fillId="0" borderId="8" xfId="1" applyNumberFormat="1" applyFont="1" applyFill="1" applyBorder="1" applyProtection="1">
      <protection locked="0"/>
    </xf>
    <xf numFmtId="166" fontId="10" fillId="0" borderId="9" xfId="1" applyNumberFormat="1" applyFont="1" applyFill="1" applyBorder="1" applyProtection="1">
      <protection locked="0"/>
    </xf>
    <xf numFmtId="166" fontId="3" fillId="0" borderId="5" xfId="0" applyNumberFormat="1" applyFont="1" applyBorder="1" applyProtection="1">
      <protection locked="0"/>
    </xf>
    <xf numFmtId="167" fontId="20" fillId="0" borderId="2" xfId="2" applyNumberFormat="1" applyFont="1" applyFill="1" applyBorder="1" applyProtection="1">
      <protection locked="0"/>
    </xf>
    <xf numFmtId="168" fontId="0" fillId="0" borderId="0" xfId="1" applyNumberFormat="1" applyFont="1" applyBorder="1" applyProtection="1">
      <protection locked="0"/>
    </xf>
    <xf numFmtId="169" fontId="1" fillId="0" borderId="4" xfId="2" applyNumberFormat="1" applyFont="1" applyFill="1" applyBorder="1" applyProtection="1">
      <protection locked="0"/>
    </xf>
    <xf numFmtId="169" fontId="1" fillId="9" borderId="25" xfId="2" applyNumberFormat="1" applyFont="1" applyFill="1" applyBorder="1" applyProtection="1">
      <protection locked="0"/>
    </xf>
    <xf numFmtId="169" fontId="1" fillId="9" borderId="28" xfId="2" applyNumberFormat="1" applyFont="1" applyFill="1" applyBorder="1" applyProtection="1">
      <protection locked="0"/>
    </xf>
    <xf numFmtId="166" fontId="12" fillId="0" borderId="0" xfId="0" applyNumberFormat="1" applyFont="1" applyProtection="1">
      <protection locked="0"/>
    </xf>
    <xf numFmtId="177" fontId="1" fillId="9" borderId="7" xfId="1" applyNumberFormat="1" applyFont="1" applyFill="1" applyBorder="1" applyProtection="1">
      <protection locked="0"/>
    </xf>
    <xf numFmtId="175" fontId="12" fillId="8" borderId="16" xfId="0" applyNumberFormat="1" applyFont="1" applyFill="1" applyBorder="1" applyAlignment="1" applyProtection="1">
      <alignment horizontal="right" indent="2"/>
      <protection locked="0"/>
    </xf>
    <xf numFmtId="178" fontId="0" fillId="0" borderId="0" xfId="0" applyNumberFormat="1" applyProtection="1">
      <protection locked="0"/>
    </xf>
    <xf numFmtId="179" fontId="0" fillId="0" borderId="0" xfId="0" applyNumberFormat="1" applyProtection="1">
      <protection locked="0"/>
    </xf>
    <xf numFmtId="0" fontId="0" fillId="2" borderId="0" xfId="0" applyFill="1"/>
    <xf numFmtId="0" fontId="3" fillId="2" borderId="0" xfId="0" applyFont="1" applyFill="1" applyProtection="1">
      <protection locked="0"/>
    </xf>
    <xf numFmtId="0" fontId="0" fillId="2" borderId="1" xfId="0" applyFill="1" applyBorder="1" applyProtection="1">
      <protection locked="0"/>
    </xf>
    <xf numFmtId="0" fontId="34" fillId="2" borderId="30" xfId="0" applyFont="1" applyFill="1" applyBorder="1" applyProtection="1">
      <protection locked="0"/>
    </xf>
    <xf numFmtId="0" fontId="0" fillId="2" borderId="30" xfId="0" applyFill="1" applyBorder="1" applyProtection="1">
      <protection locked="0"/>
    </xf>
    <xf numFmtId="0" fontId="9" fillId="2" borderId="0" xfId="0" applyFont="1" applyFill="1" applyAlignment="1" applyProtection="1">
      <alignment vertical="top"/>
      <protection locked="0"/>
    </xf>
    <xf numFmtId="0" fontId="10" fillId="2" borderId="0" xfId="0" applyFont="1" applyFill="1" applyProtection="1">
      <protection locked="0"/>
    </xf>
    <xf numFmtId="0" fontId="3" fillId="2" borderId="0" xfId="0" applyFont="1" applyFill="1"/>
    <xf numFmtId="9" fontId="13" fillId="0" borderId="0" xfId="2" applyFont="1" applyFill="1" applyBorder="1" applyProtection="1">
      <protection locked="0"/>
    </xf>
    <xf numFmtId="166" fontId="13" fillId="0" borderId="8" xfId="1" applyNumberFormat="1" applyFont="1" applyFill="1" applyBorder="1" applyProtection="1">
      <protection locked="0"/>
    </xf>
    <xf numFmtId="9" fontId="4" fillId="0" borderId="0" xfId="0" applyNumberFormat="1" applyFont="1" applyProtection="1">
      <protection locked="0"/>
    </xf>
    <xf numFmtId="0" fontId="0" fillId="0" borderId="16" xfId="0" applyBorder="1" applyProtection="1">
      <protection locked="0"/>
    </xf>
    <xf numFmtId="165" fontId="2" fillId="5" borderId="0" xfId="1" applyNumberFormat="1" applyFont="1" applyFill="1" applyBorder="1" applyAlignment="1" applyProtection="1">
      <alignment horizontal="center"/>
      <protection locked="0"/>
    </xf>
    <xf numFmtId="164" fontId="8" fillId="4" borderId="38" xfId="1" applyNumberFormat="1" applyFont="1" applyFill="1" applyBorder="1" applyAlignment="1" applyProtection="1">
      <alignment horizontal="center"/>
      <protection locked="0"/>
    </xf>
    <xf numFmtId="165" fontId="2" fillId="5" borderId="39" xfId="1" applyNumberFormat="1" applyFont="1" applyFill="1" applyBorder="1" applyAlignment="1" applyProtection="1">
      <alignment horizontal="center"/>
      <protection locked="0"/>
    </xf>
    <xf numFmtId="169" fontId="0" fillId="9" borderId="7" xfId="0" applyNumberFormat="1" applyFill="1" applyBorder="1"/>
    <xf numFmtId="168" fontId="0" fillId="9" borderId="7" xfId="1" applyNumberFormat="1" applyFont="1" applyFill="1" applyBorder="1"/>
    <xf numFmtId="9" fontId="0" fillId="9" borderId="7" xfId="0" applyNumberFormat="1" applyFill="1" applyBorder="1"/>
    <xf numFmtId="176" fontId="1" fillId="9" borderId="37" xfId="1" applyNumberFormat="1" applyFont="1" applyFill="1" applyBorder="1" applyAlignment="1" applyProtection="1">
      <protection locked="0"/>
    </xf>
    <xf numFmtId="167" fontId="41" fillId="0" borderId="0" xfId="2" applyNumberFormat="1" applyFont="1" applyFill="1" applyBorder="1" applyProtection="1">
      <protection locked="0"/>
    </xf>
    <xf numFmtId="0" fontId="4" fillId="2" borderId="0" xfId="0" applyFont="1" applyFill="1"/>
    <xf numFmtId="9" fontId="0" fillId="0" borderId="7" xfId="2" applyFont="1" applyFill="1" applyBorder="1"/>
    <xf numFmtId="0" fontId="0" fillId="0" borderId="7" xfId="0" applyBorder="1"/>
    <xf numFmtId="168" fontId="0" fillId="0" borderId="7" xfId="1" applyNumberFormat="1" applyFont="1" applyFill="1" applyBorder="1" applyAlignment="1"/>
    <xf numFmtId="0" fontId="3" fillId="2" borderId="12" xfId="0" applyFont="1" applyFill="1" applyBorder="1"/>
    <xf numFmtId="0" fontId="0" fillId="2" borderId="13" xfId="0" applyFill="1" applyBorder="1"/>
    <xf numFmtId="0" fontId="0" fillId="2" borderId="31" xfId="0" applyFill="1" applyBorder="1"/>
    <xf numFmtId="0" fontId="3" fillId="2" borderId="14" xfId="0" applyFont="1" applyFill="1" applyBorder="1"/>
    <xf numFmtId="0" fontId="0" fillId="2" borderId="32" xfId="0" applyFill="1" applyBorder="1"/>
    <xf numFmtId="0" fontId="0" fillId="2" borderId="14" xfId="0" applyFill="1" applyBorder="1"/>
    <xf numFmtId="10" fontId="0" fillId="2" borderId="0" xfId="0" applyNumberFormat="1" applyFill="1"/>
    <xf numFmtId="0" fontId="3" fillId="2" borderId="33" xfId="0" applyFont="1" applyFill="1" applyBorder="1"/>
    <xf numFmtId="0" fontId="0" fillId="2" borderId="35" xfId="0" applyFill="1" applyBorder="1"/>
    <xf numFmtId="10" fontId="0" fillId="2" borderId="35" xfId="0" applyNumberFormat="1" applyFill="1" applyBorder="1"/>
    <xf numFmtId="0" fontId="0" fillId="2" borderId="34" xfId="0" applyFill="1" applyBorder="1"/>
    <xf numFmtId="0" fontId="0" fillId="2" borderId="33" xfId="0" applyFill="1" applyBorder="1"/>
    <xf numFmtId="169" fontId="0" fillId="2" borderId="0" xfId="0" applyNumberFormat="1" applyFill="1"/>
    <xf numFmtId="169" fontId="0" fillId="9" borderId="0" xfId="0" applyNumberFormat="1" applyFill="1"/>
    <xf numFmtId="176" fontId="1" fillId="2" borderId="35" xfId="1" applyNumberFormat="1" applyFont="1" applyFill="1" applyBorder="1" applyAlignment="1" applyProtection="1">
      <alignment horizontal="center" wrapText="1"/>
      <protection locked="0"/>
    </xf>
    <xf numFmtId="176" fontId="3" fillId="9" borderId="0" xfId="1" applyNumberFormat="1" applyFont="1" applyFill="1" applyBorder="1" applyProtection="1">
      <protection locked="0"/>
    </xf>
    <xf numFmtId="180" fontId="0" fillId="9" borderId="0" xfId="0" applyNumberFormat="1" applyFill="1"/>
    <xf numFmtId="166" fontId="10" fillId="0" borderId="6" xfId="1" applyNumberFormat="1" applyFont="1" applyFill="1" applyBorder="1" applyProtection="1">
      <protection locked="0"/>
    </xf>
    <xf numFmtId="0" fontId="43" fillId="0" borderId="0" xfId="5" applyFont="1" applyAlignment="1">
      <alignment vertical="center"/>
    </xf>
    <xf numFmtId="0" fontId="3" fillId="0" borderId="0" xfId="0" applyFont="1" applyAlignment="1" applyProtection="1">
      <alignment vertical="center"/>
      <protection locked="0"/>
    </xf>
    <xf numFmtId="0" fontId="44" fillId="0" borderId="0" xfId="0" applyFont="1"/>
    <xf numFmtId="0" fontId="9" fillId="2" borderId="14" xfId="0" applyFont="1" applyFill="1" applyBorder="1" applyAlignment="1" applyProtection="1">
      <alignment vertical="top"/>
      <protection locked="0"/>
    </xf>
    <xf numFmtId="0" fontId="0" fillId="2" borderId="41" xfId="0" applyFill="1" applyBorder="1"/>
    <xf numFmtId="165" fontId="2" fillId="10" borderId="40" xfId="1" applyNumberFormat="1" applyFont="1" applyFill="1" applyBorder="1" applyAlignment="1" applyProtection="1">
      <alignment horizontal="center"/>
      <protection locked="0"/>
    </xf>
    <xf numFmtId="165" fontId="2" fillId="10" borderId="0" xfId="1" applyNumberFormat="1" applyFont="1" applyFill="1" applyBorder="1" applyAlignment="1" applyProtection="1">
      <alignment horizontal="center"/>
      <protection locked="0"/>
    </xf>
    <xf numFmtId="0" fontId="46" fillId="2" borderId="42" xfId="1" applyNumberFormat="1" applyFont="1" applyFill="1" applyBorder="1" applyAlignment="1" applyProtection="1">
      <protection locked="0"/>
    </xf>
    <xf numFmtId="43" fontId="33" fillId="2" borderId="42" xfId="1" applyFont="1" applyFill="1" applyBorder="1" applyAlignment="1" applyProtection="1">
      <alignment horizontal="left" vertical="center"/>
      <protection locked="0"/>
    </xf>
    <xf numFmtId="0" fontId="0" fillId="0" borderId="42" xfId="0" applyBorder="1" applyProtection="1">
      <protection locked="0"/>
    </xf>
    <xf numFmtId="43" fontId="3" fillId="2" borderId="42" xfId="1" applyFont="1" applyFill="1" applyBorder="1" applyAlignment="1" applyProtection="1">
      <alignment horizontal="left" vertical="center"/>
      <protection locked="0"/>
    </xf>
    <xf numFmtId="43" fontId="6" fillId="2" borderId="42" xfId="1" applyFont="1" applyFill="1" applyBorder="1" applyAlignment="1" applyProtection="1">
      <alignment horizontal="left" vertical="center"/>
      <protection locked="0"/>
    </xf>
    <xf numFmtId="0" fontId="45" fillId="0" borderId="42" xfId="0" applyFont="1" applyBorder="1" applyProtection="1">
      <protection locked="0"/>
    </xf>
    <xf numFmtId="0" fontId="2" fillId="12" borderId="14" xfId="0" applyFont="1" applyFill="1" applyBorder="1" applyAlignment="1" applyProtection="1">
      <alignment vertical="center"/>
      <protection locked="0"/>
    </xf>
    <xf numFmtId="0" fontId="2" fillId="12" borderId="0" xfId="0" applyFont="1" applyFill="1" applyAlignment="1" applyProtection="1">
      <alignment vertical="center"/>
      <protection locked="0"/>
    </xf>
    <xf numFmtId="0" fontId="8" fillId="11" borderId="44" xfId="0" applyFont="1" applyFill="1" applyBorder="1" applyAlignment="1" applyProtection="1">
      <alignment horizontal="centerContinuous" wrapText="1"/>
      <protection locked="0"/>
    </xf>
    <xf numFmtId="0" fontId="2" fillId="10" borderId="43" xfId="1" applyNumberFormat="1" applyFont="1" applyFill="1" applyBorder="1" applyAlignment="1" applyProtection="1">
      <alignment horizontal="centerContinuous"/>
      <protection locked="0"/>
    </xf>
    <xf numFmtId="0" fontId="4" fillId="10" borderId="0" xfId="0" applyFont="1" applyFill="1" applyProtection="1">
      <protection locked="0"/>
    </xf>
    <xf numFmtId="39" fontId="31" fillId="11" borderId="0" xfId="3" applyNumberFormat="1" applyFont="1" applyFill="1" applyProtection="1">
      <protection locked="0"/>
    </xf>
    <xf numFmtId="0" fontId="0" fillId="0" borderId="49" xfId="0" applyBorder="1" applyProtection="1">
      <protection locked="0"/>
    </xf>
    <xf numFmtId="0" fontId="0" fillId="2" borderId="49" xfId="0" applyFill="1" applyBorder="1" applyProtection="1">
      <protection locked="0"/>
    </xf>
    <xf numFmtId="0" fontId="0" fillId="2" borderId="49" xfId="0" applyFill="1" applyBorder="1" applyAlignment="1" applyProtection="1">
      <alignment horizontal="right"/>
      <protection locked="0"/>
    </xf>
    <xf numFmtId="175" fontId="12" fillId="8" borderId="49" xfId="0" applyNumberFormat="1" applyFont="1" applyFill="1" applyBorder="1" applyAlignment="1" applyProtection="1">
      <alignment horizontal="right" indent="2"/>
      <protection locked="0"/>
    </xf>
    <xf numFmtId="175" fontId="0" fillId="8" borderId="49" xfId="0" applyNumberFormat="1" applyFill="1" applyBorder="1" applyAlignment="1" applyProtection="1">
      <alignment horizontal="right" indent="2"/>
      <protection locked="0"/>
    </xf>
    <xf numFmtId="174" fontId="12" fillId="8" borderId="50" xfId="0" applyNumberFormat="1" applyFont="1" applyFill="1" applyBorder="1" applyAlignment="1" applyProtection="1">
      <alignment horizontal="right" indent="2"/>
      <protection locked="0"/>
    </xf>
    <xf numFmtId="174" fontId="0" fillId="8" borderId="49" xfId="0" applyNumberFormat="1" applyFill="1" applyBorder="1" applyAlignment="1" applyProtection="1">
      <alignment horizontal="right" indent="2"/>
      <protection locked="0"/>
    </xf>
    <xf numFmtId="174" fontId="12" fillId="8" borderId="51" xfId="0" applyNumberFormat="1" applyFont="1" applyFill="1" applyBorder="1" applyAlignment="1" applyProtection="1">
      <alignment horizontal="right" indent="2"/>
      <protection locked="0"/>
    </xf>
    <xf numFmtId="0" fontId="10" fillId="11" borderId="0" xfId="0" applyFont="1" applyFill="1" applyProtection="1">
      <protection locked="0"/>
    </xf>
    <xf numFmtId="166" fontId="13" fillId="0" borderId="53" xfId="1" applyNumberFormat="1" applyFont="1" applyFill="1" applyBorder="1" applyProtection="1">
      <protection locked="0"/>
    </xf>
    <xf numFmtId="0" fontId="4" fillId="10" borderId="54" xfId="0" applyFont="1" applyFill="1" applyBorder="1" applyProtection="1">
      <protection locked="0"/>
    </xf>
    <xf numFmtId="0" fontId="4" fillId="10" borderId="43" xfId="3" applyFont="1" applyFill="1" applyBorder="1" applyAlignment="1" applyProtection="1">
      <alignment horizontal="centerContinuous"/>
      <protection locked="0"/>
    </xf>
    <xf numFmtId="0" fontId="2" fillId="10" borderId="43" xfId="3" applyFont="1" applyFill="1" applyBorder="1" applyAlignment="1" applyProtection="1">
      <alignment horizontal="centerContinuous"/>
      <protection locked="0"/>
    </xf>
    <xf numFmtId="0" fontId="4" fillId="2" borderId="2" xfId="0" applyFont="1" applyFill="1" applyBorder="1"/>
    <xf numFmtId="37" fontId="0" fillId="8" borderId="0" xfId="0" applyNumberFormat="1" applyFill="1" applyProtection="1">
      <protection locked="0"/>
    </xf>
    <xf numFmtId="174" fontId="0" fillId="8" borderId="0" xfId="0" applyNumberFormat="1" applyFill="1" applyAlignment="1" applyProtection="1">
      <alignment horizontal="right" indent="2"/>
      <protection locked="0"/>
    </xf>
    <xf numFmtId="174" fontId="12" fillId="8" borderId="0" xfId="0" applyNumberFormat="1" applyFont="1" applyFill="1" applyAlignment="1" applyProtection="1">
      <alignment horizontal="right" indent="2"/>
      <protection locked="0"/>
    </xf>
    <xf numFmtId="175" fontId="0" fillId="8" borderId="0" xfId="0" applyNumberFormat="1" applyFill="1" applyAlignment="1" applyProtection="1">
      <alignment horizontal="right" indent="2"/>
      <protection locked="0"/>
    </xf>
    <xf numFmtId="175" fontId="12" fillId="8" borderId="0" xfId="0" applyNumberFormat="1" applyFont="1" applyFill="1" applyAlignment="1" applyProtection="1">
      <alignment horizontal="right" indent="2"/>
      <protection locked="0"/>
    </xf>
    <xf numFmtId="43" fontId="3" fillId="0" borderId="0" xfId="1" applyFont="1" applyFill="1" applyBorder="1" applyProtection="1">
      <protection locked="0"/>
    </xf>
    <xf numFmtId="166" fontId="6" fillId="0" borderId="9" xfId="1" applyNumberFormat="1" applyFont="1" applyFill="1" applyBorder="1" applyProtection="1">
      <protection locked="0"/>
    </xf>
    <xf numFmtId="168" fontId="1" fillId="9" borderId="0" xfId="1" applyNumberFormat="1" applyFont="1" applyFill="1" applyBorder="1" applyProtection="1">
      <protection locked="0"/>
    </xf>
    <xf numFmtId="168" fontId="1" fillId="9" borderId="4" xfId="1" applyNumberFormat="1" applyFont="1" applyFill="1" applyBorder="1" applyProtection="1">
      <protection locked="0"/>
    </xf>
    <xf numFmtId="166" fontId="3" fillId="0" borderId="55" xfId="1" applyNumberFormat="1" applyFont="1" applyFill="1" applyBorder="1" applyProtection="1">
      <protection locked="0"/>
    </xf>
    <xf numFmtId="166" fontId="3" fillId="0" borderId="8" xfId="1" applyNumberFormat="1" applyFont="1" applyFill="1" applyBorder="1" applyProtection="1">
      <protection locked="0"/>
    </xf>
    <xf numFmtId="166" fontId="3" fillId="0" borderId="56" xfId="1" applyNumberFormat="1" applyFont="1" applyFill="1" applyBorder="1" applyProtection="1">
      <protection locked="0"/>
    </xf>
    <xf numFmtId="0" fontId="0" fillId="0" borderId="57" xfId="0" applyBorder="1" applyProtection="1">
      <protection locked="0"/>
    </xf>
    <xf numFmtId="37" fontId="13" fillId="0" borderId="0" xfId="0" applyNumberFormat="1" applyFont="1" applyProtection="1">
      <protection locked="0"/>
    </xf>
    <xf numFmtId="172" fontId="1" fillId="9" borderId="7" xfId="1" applyNumberFormat="1" applyFont="1" applyFill="1" applyBorder="1" applyProtection="1">
      <protection locked="0"/>
    </xf>
    <xf numFmtId="173" fontId="12" fillId="0" borderId="2" xfId="3" applyNumberFormat="1" applyFont="1" applyBorder="1" applyProtection="1">
      <protection locked="0"/>
    </xf>
    <xf numFmtId="173" fontId="31" fillId="0" borderId="2" xfId="3" applyNumberFormat="1" applyFont="1" applyBorder="1" applyProtection="1">
      <protection locked="0"/>
    </xf>
    <xf numFmtId="173" fontId="12" fillId="0" borderId="19" xfId="3" applyNumberFormat="1" applyFont="1" applyBorder="1" applyProtection="1">
      <protection locked="0"/>
    </xf>
    <xf numFmtId="173" fontId="31" fillId="0" borderId="19" xfId="3" applyNumberFormat="1" applyFont="1" applyBorder="1" applyProtection="1">
      <protection locked="0"/>
    </xf>
    <xf numFmtId="43" fontId="1" fillId="0" borderId="0" xfId="1" applyFont="1" applyFill="1" applyBorder="1" applyProtection="1">
      <protection locked="0"/>
    </xf>
    <xf numFmtId="43" fontId="1" fillId="6" borderId="0" xfId="1" applyFont="1" applyFill="1" applyBorder="1" applyProtection="1">
      <protection locked="0"/>
    </xf>
    <xf numFmtId="9" fontId="49" fillId="15" borderId="26" xfId="8" applyNumberFormat="1" applyBorder="1"/>
    <xf numFmtId="176" fontId="49" fillId="15" borderId="37" xfId="8" applyNumberFormat="1" applyBorder="1" applyAlignment="1" applyProtection="1">
      <protection locked="0"/>
    </xf>
    <xf numFmtId="10" fontId="1" fillId="9" borderId="4" xfId="1" applyNumberFormat="1" applyFont="1" applyFill="1" applyBorder="1" applyProtection="1">
      <protection locked="0"/>
    </xf>
    <xf numFmtId="10" fontId="1" fillId="9" borderId="8" xfId="1" applyNumberFormat="1" applyFont="1" applyFill="1" applyBorder="1" applyProtection="1">
      <protection locked="0"/>
    </xf>
    <xf numFmtId="2" fontId="1" fillId="9" borderId="0" xfId="1" applyNumberFormat="1" applyFont="1" applyFill="1" applyBorder="1" applyProtection="1">
      <protection locked="0"/>
    </xf>
    <xf numFmtId="3" fontId="1" fillId="9" borderId="0" xfId="1" applyNumberFormat="1" applyFont="1" applyFill="1" applyBorder="1" applyProtection="1">
      <protection locked="0"/>
    </xf>
    <xf numFmtId="3" fontId="1" fillId="9" borderId="8" xfId="1" applyNumberFormat="1" applyFont="1" applyFill="1" applyBorder="1" applyProtection="1">
      <protection locked="0"/>
    </xf>
    <xf numFmtId="3" fontId="1" fillId="9" borderId="4" xfId="1" applyNumberFormat="1" applyFont="1" applyFill="1" applyBorder="1" applyProtection="1">
      <protection locked="0"/>
    </xf>
    <xf numFmtId="4" fontId="1" fillId="9" borderId="4" xfId="1" applyNumberFormat="1" applyFont="1" applyFill="1" applyBorder="1" applyProtection="1">
      <protection locked="0"/>
    </xf>
    <xf numFmtId="9" fontId="1" fillId="9" borderId="19" xfId="1" applyNumberFormat="1" applyFont="1" applyFill="1" applyBorder="1" applyProtection="1">
      <protection locked="0"/>
    </xf>
    <xf numFmtId="10" fontId="1" fillId="9" borderId="2" xfId="1" applyNumberFormat="1" applyFont="1" applyFill="1" applyBorder="1" applyProtection="1">
      <protection locked="0"/>
    </xf>
    <xf numFmtId="166" fontId="1" fillId="9" borderId="4" xfId="1" applyNumberFormat="1" applyFont="1" applyFill="1" applyBorder="1" applyProtection="1">
      <protection locked="0"/>
    </xf>
    <xf numFmtId="3" fontId="1" fillId="9" borderId="7" xfId="1" applyNumberFormat="1" applyFont="1" applyFill="1" applyBorder="1" applyProtection="1">
      <protection locked="0"/>
    </xf>
    <xf numFmtId="166" fontId="6" fillId="0" borderId="8" xfId="1" applyNumberFormat="1" applyFont="1" applyFill="1" applyBorder="1" applyProtection="1">
      <protection locked="0"/>
    </xf>
    <xf numFmtId="0" fontId="23" fillId="2" borderId="0" xfId="0" applyFont="1" applyFill="1" applyAlignment="1" applyProtection="1">
      <alignment vertical="center"/>
      <protection locked="0"/>
    </xf>
    <xf numFmtId="169" fontId="13" fillId="2" borderId="7" xfId="0" applyNumberFormat="1" applyFont="1" applyFill="1" applyBorder="1"/>
    <xf numFmtId="10" fontId="13" fillId="2" borderId="0" xfId="0" applyNumberFormat="1" applyFont="1" applyFill="1"/>
    <xf numFmtId="169" fontId="13" fillId="2" borderId="0" xfId="0" applyNumberFormat="1" applyFont="1" applyFill="1"/>
    <xf numFmtId="10" fontId="13" fillId="0" borderId="0" xfId="0" applyNumberFormat="1" applyFont="1" applyProtection="1">
      <protection locked="0"/>
    </xf>
    <xf numFmtId="2" fontId="13" fillId="0" borderId="0" xfId="0" applyNumberFormat="1" applyFont="1" applyAlignment="1" applyProtection="1">
      <alignment horizontal="right"/>
      <protection locked="0"/>
    </xf>
    <xf numFmtId="2" fontId="13" fillId="0" borderId="0" xfId="0" applyNumberFormat="1" applyFont="1" applyProtection="1">
      <protection locked="0"/>
    </xf>
    <xf numFmtId="181" fontId="12" fillId="8" borderId="49" xfId="0" applyNumberFormat="1" applyFont="1" applyFill="1" applyBorder="1" applyProtection="1">
      <protection locked="0"/>
    </xf>
    <xf numFmtId="37" fontId="12" fillId="8" borderId="51" xfId="0" applyNumberFormat="1" applyFont="1" applyFill="1" applyBorder="1" applyProtection="1">
      <protection locked="0"/>
    </xf>
    <xf numFmtId="181" fontId="12" fillId="8" borderId="16" xfId="0" applyNumberFormat="1" applyFont="1" applyFill="1" applyBorder="1" applyProtection="1">
      <protection locked="0"/>
    </xf>
    <xf numFmtId="181" fontId="12" fillId="8" borderId="50" xfId="0" applyNumberFormat="1" applyFont="1" applyFill="1" applyBorder="1" applyProtection="1">
      <protection locked="0"/>
    </xf>
    <xf numFmtId="37" fontId="12" fillId="8" borderId="50" xfId="0" applyNumberFormat="1" applyFont="1" applyFill="1" applyBorder="1" applyProtection="1">
      <protection locked="0"/>
    </xf>
    <xf numFmtId="37" fontId="12" fillId="8" borderId="16" xfId="0" applyNumberFormat="1" applyFont="1" applyFill="1" applyBorder="1" applyProtection="1">
      <protection locked="0"/>
    </xf>
    <xf numFmtId="0" fontId="52" fillId="0" borderId="0" xfId="0" applyFont="1"/>
    <xf numFmtId="0" fontId="53" fillId="0" borderId="0" xfId="0" applyFont="1"/>
    <xf numFmtId="0" fontId="56" fillId="2" borderId="0" xfId="9" applyFont="1" applyFill="1"/>
    <xf numFmtId="0" fontId="52" fillId="0" borderId="59" xfId="0" applyFont="1" applyBorder="1"/>
    <xf numFmtId="16" fontId="57" fillId="0" borderId="59" xfId="0" applyNumberFormat="1" applyFont="1" applyBorder="1"/>
    <xf numFmtId="0" fontId="57" fillId="0" borderId="59" xfId="0" applyFont="1" applyBorder="1"/>
    <xf numFmtId="182" fontId="52" fillId="0" borderId="59" xfId="0" applyNumberFormat="1" applyFont="1" applyBorder="1"/>
    <xf numFmtId="10" fontId="52" fillId="0" borderId="59" xfId="2" applyNumberFormat="1" applyFont="1" applyBorder="1"/>
    <xf numFmtId="0" fontId="52" fillId="2" borderId="0" xfId="9" applyFont="1" applyFill="1"/>
    <xf numFmtId="0" fontId="57" fillId="16" borderId="0" xfId="9" applyFont="1" applyFill="1"/>
    <xf numFmtId="184" fontId="52" fillId="2" borderId="0" xfId="9" applyNumberFormat="1" applyFont="1" applyFill="1"/>
    <xf numFmtId="168" fontId="57" fillId="16" borderId="0" xfId="9" applyNumberFormat="1" applyFont="1" applyFill="1"/>
    <xf numFmtId="43" fontId="33" fillId="2" borderId="60" xfId="1" applyFont="1" applyFill="1" applyBorder="1" applyAlignment="1" applyProtection="1">
      <alignment horizontal="left" vertical="center"/>
      <protection locked="0"/>
    </xf>
    <xf numFmtId="43" fontId="3" fillId="2" borderId="60" xfId="1" applyFont="1" applyFill="1" applyBorder="1" applyAlignment="1" applyProtection="1">
      <alignment horizontal="left" vertical="center"/>
      <protection locked="0"/>
    </xf>
    <xf numFmtId="43" fontId="6" fillId="2" borderId="60" xfId="1" applyFont="1" applyFill="1" applyBorder="1" applyAlignment="1" applyProtection="1">
      <alignment horizontal="left" vertical="center"/>
      <protection locked="0"/>
    </xf>
    <xf numFmtId="0" fontId="0" fillId="0" borderId="60" xfId="0" applyBorder="1" applyProtection="1">
      <protection locked="0"/>
    </xf>
    <xf numFmtId="0" fontId="58" fillId="0" borderId="60" xfId="0" applyFont="1" applyBorder="1" applyProtection="1">
      <protection locked="0"/>
    </xf>
    <xf numFmtId="0" fontId="59" fillId="0" borderId="60" xfId="0" applyFont="1" applyBorder="1" applyProtection="1">
      <protection locked="0"/>
    </xf>
    <xf numFmtId="0" fontId="60" fillId="2" borderId="60" xfId="1" applyNumberFormat="1" applyFont="1" applyFill="1" applyBorder="1" applyAlignment="1" applyProtection="1">
      <protection locked="0"/>
    </xf>
    <xf numFmtId="0" fontId="5" fillId="2" borderId="61" xfId="1" applyNumberFormat="1" applyFont="1" applyFill="1" applyBorder="1" applyAlignment="1" applyProtection="1">
      <protection locked="0"/>
    </xf>
    <xf numFmtId="43" fontId="3" fillId="2" borderId="61" xfId="1" applyFont="1" applyFill="1" applyBorder="1" applyAlignment="1" applyProtection="1">
      <alignment horizontal="left" vertical="center"/>
      <protection locked="0"/>
    </xf>
    <xf numFmtId="43" fontId="6" fillId="2" borderId="61" xfId="1" applyFont="1" applyFill="1" applyBorder="1" applyAlignment="1" applyProtection="1">
      <alignment horizontal="left" vertical="center"/>
      <protection locked="0"/>
    </xf>
    <xf numFmtId="0" fontId="0" fillId="0" borderId="61" xfId="0" applyBorder="1" applyProtection="1">
      <protection locked="0"/>
    </xf>
    <xf numFmtId="0" fontId="2" fillId="17" borderId="0" xfId="0" applyFont="1" applyFill="1" applyAlignment="1" applyProtection="1">
      <alignment vertical="center"/>
      <protection locked="0"/>
    </xf>
    <xf numFmtId="0" fontId="0" fillId="17" borderId="0" xfId="0" applyFill="1" applyProtection="1">
      <protection locked="0"/>
    </xf>
    <xf numFmtId="0" fontId="2" fillId="17" borderId="43" xfId="0" applyFont="1" applyFill="1" applyBorder="1" applyAlignment="1" applyProtection="1">
      <alignment horizontal="centerContinuous" wrapText="1"/>
      <protection locked="0"/>
    </xf>
    <xf numFmtId="0" fontId="2" fillId="17" borderId="44" xfId="0" applyFont="1" applyFill="1" applyBorder="1" applyAlignment="1" applyProtection="1">
      <alignment horizontal="centerContinuous" wrapText="1"/>
      <protection locked="0"/>
    </xf>
    <xf numFmtId="164" fontId="2" fillId="17" borderId="46" xfId="1" applyNumberFormat="1" applyFont="1" applyFill="1" applyBorder="1" applyAlignment="1" applyProtection="1">
      <alignment horizontal="center"/>
      <protection locked="0"/>
    </xf>
    <xf numFmtId="164" fontId="2" fillId="17" borderId="52" xfId="1" applyNumberFormat="1" applyFont="1" applyFill="1" applyBorder="1" applyAlignment="1" applyProtection="1">
      <alignment horizontal="center"/>
      <protection locked="0"/>
    </xf>
    <xf numFmtId="0" fontId="2" fillId="18" borderId="43" xfId="1" applyNumberFormat="1" applyFont="1" applyFill="1" applyBorder="1" applyAlignment="1" applyProtection="1">
      <alignment horizontal="centerContinuous"/>
      <protection locked="0"/>
    </xf>
    <xf numFmtId="165" fontId="2" fillId="18" borderId="46" xfId="1" applyNumberFormat="1" applyFont="1" applyFill="1" applyBorder="1" applyAlignment="1" applyProtection="1">
      <alignment horizontal="center"/>
      <protection locked="0"/>
    </xf>
    <xf numFmtId="0" fontId="2" fillId="18" borderId="0" xfId="0" applyFont="1" applyFill="1" applyAlignment="1" applyProtection="1">
      <alignment vertical="center"/>
      <protection locked="0"/>
    </xf>
    <xf numFmtId="0" fontId="4" fillId="17" borderId="0" xfId="0" applyFont="1" applyFill="1" applyProtection="1">
      <protection locked="0"/>
    </xf>
    <xf numFmtId="0" fontId="4" fillId="17" borderId="0" xfId="3" applyFont="1" applyFill="1" applyAlignment="1" applyProtection="1">
      <alignment horizontal="centerContinuous"/>
      <protection locked="0"/>
    </xf>
    <xf numFmtId="0" fontId="2" fillId="17" borderId="43" xfId="3" applyFont="1" applyFill="1" applyBorder="1" applyAlignment="1" applyProtection="1">
      <alignment horizontal="centerContinuous"/>
      <protection locked="0"/>
    </xf>
    <xf numFmtId="0" fontId="2" fillId="17" borderId="0" xfId="3" applyFont="1" applyFill="1" applyAlignment="1" applyProtection="1">
      <alignment horizontal="centerContinuous"/>
      <protection locked="0"/>
    </xf>
    <xf numFmtId="0" fontId="2" fillId="17" borderId="0" xfId="0" applyFont="1" applyFill="1" applyProtection="1">
      <protection locked="0"/>
    </xf>
    <xf numFmtId="0" fontId="4" fillId="17" borderId="0" xfId="0" applyFont="1" applyFill="1" applyAlignment="1" applyProtection="1">
      <alignment horizontal="right"/>
      <protection locked="0"/>
    </xf>
    <xf numFmtId="164" fontId="2" fillId="17" borderId="47" xfId="1" applyNumberFormat="1" applyFont="1" applyFill="1" applyBorder="1" applyAlignment="1" applyProtection="1">
      <alignment horizontal="center"/>
      <protection locked="0"/>
    </xf>
    <xf numFmtId="165" fontId="2" fillId="18" borderId="48" xfId="1" applyNumberFormat="1" applyFont="1" applyFill="1" applyBorder="1" applyAlignment="1" applyProtection="1">
      <alignment horizontal="center"/>
      <protection locked="0"/>
    </xf>
    <xf numFmtId="0" fontId="2" fillId="17" borderId="0" xfId="0" applyFont="1" applyFill="1" applyAlignment="1" applyProtection="1">
      <alignment horizontal="center" vertical="center"/>
      <protection locked="0"/>
    </xf>
    <xf numFmtId="0" fontId="2" fillId="17" borderId="0" xfId="0" applyFont="1" applyFill="1" applyAlignment="1" applyProtection="1">
      <alignment horizontal="centerContinuous"/>
      <protection locked="0"/>
    </xf>
    <xf numFmtId="0" fontId="2" fillId="17" borderId="45" xfId="0" applyFont="1" applyFill="1" applyBorder="1" applyAlignment="1" applyProtection="1">
      <alignment horizontal="centerContinuous" vertical="center"/>
      <protection locked="0"/>
    </xf>
    <xf numFmtId="0" fontId="2" fillId="17" borderId="0" xfId="0" applyFont="1" applyFill="1" applyAlignment="1" applyProtection="1">
      <alignment horizontal="centerContinuous" vertical="center"/>
      <protection locked="0"/>
    </xf>
    <xf numFmtId="0" fontId="2" fillId="17" borderId="43" xfId="0" applyFont="1" applyFill="1" applyBorder="1" applyAlignment="1" applyProtection="1">
      <alignment horizontal="left"/>
      <protection locked="0"/>
    </xf>
    <xf numFmtId="0" fontId="2" fillId="17" borderId="43" xfId="0" applyFont="1" applyFill="1" applyBorder="1" applyAlignment="1" applyProtection="1">
      <alignment horizontal="center" vertical="center"/>
      <protection locked="0"/>
    </xf>
    <xf numFmtId="0" fontId="2" fillId="17" borderId="46" xfId="0" applyFont="1" applyFill="1" applyBorder="1" applyAlignment="1" applyProtection="1">
      <alignment horizontal="center" vertical="center"/>
      <protection locked="0"/>
    </xf>
    <xf numFmtId="165" fontId="2" fillId="17" borderId="46" xfId="0" applyNumberFormat="1" applyFont="1" applyFill="1" applyBorder="1" applyAlignment="1" applyProtection="1">
      <alignment horizontal="center" vertical="center"/>
      <protection locked="0"/>
    </xf>
    <xf numFmtId="0" fontId="2" fillId="18" borderId="0" xfId="0" applyFont="1" applyFill="1" applyProtection="1">
      <protection locked="0"/>
    </xf>
    <xf numFmtId="0" fontId="2" fillId="18" borderId="0" xfId="0" applyFont="1" applyFill="1" applyAlignment="1" applyProtection="1">
      <alignment horizontal="right"/>
      <protection locked="0"/>
    </xf>
    <xf numFmtId="166" fontId="2" fillId="18" borderId="0" xfId="0" applyNumberFormat="1" applyFont="1" applyFill="1" applyAlignment="1" applyProtection="1">
      <alignment horizontal="right"/>
      <protection locked="0"/>
    </xf>
    <xf numFmtId="0" fontId="58" fillId="0" borderId="0" xfId="0" applyFont="1" applyProtection="1">
      <protection locked="0"/>
    </xf>
    <xf numFmtId="0" fontId="59" fillId="0" borderId="0" xfId="0" applyFont="1" applyProtection="1">
      <protection locked="0"/>
    </xf>
    <xf numFmtId="0" fontId="60" fillId="2" borderId="0" xfId="1" applyNumberFormat="1" applyFont="1" applyFill="1" applyBorder="1" applyAlignment="1" applyProtection="1">
      <protection locked="0"/>
    </xf>
    <xf numFmtId="43" fontId="33" fillId="2" borderId="0" xfId="1" applyFont="1" applyFill="1" applyBorder="1" applyAlignment="1" applyProtection="1">
      <alignment horizontal="left" vertical="center"/>
      <protection locked="0"/>
    </xf>
    <xf numFmtId="0" fontId="3" fillId="0" borderId="58" xfId="0" applyFont="1" applyBorder="1" applyAlignment="1" applyProtection="1">
      <alignment horizontal="center"/>
      <protection locked="0"/>
    </xf>
    <xf numFmtId="3" fontId="1" fillId="9" borderId="58" xfId="1" applyNumberFormat="1" applyFont="1" applyFill="1" applyBorder="1" applyAlignment="1" applyProtection="1">
      <protection locked="0"/>
    </xf>
    <xf numFmtId="168" fontId="0" fillId="0" borderId="58" xfId="0" applyNumberFormat="1" applyBorder="1" applyAlignment="1" applyProtection="1">
      <alignment vertical="center"/>
      <protection locked="0"/>
    </xf>
    <xf numFmtId="0" fontId="5" fillId="2" borderId="61" xfId="1" applyNumberFormat="1" applyFont="1" applyFill="1" applyBorder="1" applyProtection="1">
      <protection locked="0"/>
    </xf>
    <xf numFmtId="0" fontId="3" fillId="2" borderId="0" xfId="1" applyNumberFormat="1" applyFont="1" applyFill="1" applyAlignment="1" applyProtection="1">
      <alignment horizontal="left" vertical="center"/>
      <protection locked="0"/>
    </xf>
    <xf numFmtId="43" fontId="3" fillId="2" borderId="0" xfId="1" applyFont="1" applyFill="1" applyAlignment="1" applyProtection="1">
      <alignment horizontal="left" vertical="center"/>
      <protection locked="0"/>
    </xf>
    <xf numFmtId="43" fontId="6" fillId="2" borderId="0" xfId="1" applyFont="1" applyFill="1" applyAlignment="1" applyProtection="1">
      <alignment horizontal="left" vertical="center"/>
      <protection locked="0"/>
    </xf>
    <xf numFmtId="0" fontId="60" fillId="2" borderId="60" xfId="1" applyNumberFormat="1" applyFont="1" applyFill="1" applyBorder="1" applyProtection="1">
      <protection locked="0"/>
    </xf>
    <xf numFmtId="0" fontId="10" fillId="6" borderId="0" xfId="0" applyFont="1" applyFill="1" applyProtection="1">
      <protection locked="0"/>
    </xf>
    <xf numFmtId="180" fontId="52" fillId="0" borderId="58" xfId="2" applyNumberFormat="1" applyFont="1" applyFill="1" applyBorder="1"/>
    <xf numFmtId="10" fontId="52" fillId="0" borderId="58" xfId="2" applyNumberFormat="1" applyFont="1" applyFill="1" applyBorder="1"/>
    <xf numFmtId="183" fontId="52" fillId="0" borderId="58" xfId="1" applyNumberFormat="1" applyFont="1" applyFill="1" applyBorder="1"/>
    <xf numFmtId="0" fontId="52" fillId="0" borderId="0" xfId="9" applyFont="1"/>
    <xf numFmtId="0" fontId="57" fillId="0" borderId="0" xfId="9" applyFont="1"/>
    <xf numFmtId="0" fontId="54" fillId="17" borderId="0" xfId="0" applyFont="1" applyFill="1" applyAlignment="1">
      <alignment horizontal="center"/>
    </xf>
    <xf numFmtId="0" fontId="55" fillId="16" borderId="61" xfId="9" applyFont="1" applyFill="1" applyBorder="1"/>
    <xf numFmtId="0" fontId="56" fillId="2" borderId="61" xfId="9" applyFont="1" applyFill="1" applyBorder="1"/>
    <xf numFmtId="0" fontId="0" fillId="2" borderId="61" xfId="0" applyFill="1" applyBorder="1" applyProtection="1">
      <protection locked="0"/>
    </xf>
    <xf numFmtId="0" fontId="58" fillId="2" borderId="60" xfId="0" applyFont="1" applyFill="1" applyBorder="1" applyProtection="1">
      <protection locked="0"/>
    </xf>
    <xf numFmtId="0" fontId="59" fillId="2" borderId="60" xfId="0" applyFont="1" applyFill="1" applyBorder="1" applyProtection="1">
      <protection locked="0"/>
    </xf>
    <xf numFmtId="43" fontId="58" fillId="2" borderId="60" xfId="1" applyFont="1" applyFill="1" applyBorder="1" applyAlignment="1" applyProtection="1">
      <alignment horizontal="left" vertical="center"/>
      <protection locked="0"/>
    </xf>
    <xf numFmtId="0" fontId="2" fillId="17" borderId="12" xfId="0" applyFont="1" applyFill="1" applyBorder="1"/>
    <xf numFmtId="0" fontId="4" fillId="17" borderId="13" xfId="0" applyFont="1" applyFill="1" applyBorder="1"/>
    <xf numFmtId="0" fontId="0" fillId="12" borderId="0" xfId="0" applyFill="1" applyProtection="1">
      <protection locked="0"/>
    </xf>
    <xf numFmtId="165" fontId="2" fillId="10" borderId="15" xfId="1" applyNumberFormat="1" applyFont="1" applyFill="1" applyBorder="1" applyAlignment="1" applyProtection="1">
      <alignment horizontal="center"/>
      <protection locked="0"/>
    </xf>
    <xf numFmtId="169" fontId="0" fillId="9" borderId="64" xfId="0" applyNumberFormat="1" applyFill="1" applyBorder="1"/>
    <xf numFmtId="166" fontId="0" fillId="9" borderId="64" xfId="0" applyNumberFormat="1" applyFill="1" applyBorder="1"/>
    <xf numFmtId="164" fontId="10" fillId="11" borderId="65" xfId="1" applyNumberFormat="1" applyFont="1" applyFill="1" applyBorder="1" applyAlignment="1" applyProtection="1">
      <alignment horizontal="center"/>
      <protection locked="0"/>
    </xf>
    <xf numFmtId="169" fontId="0" fillId="9" borderId="66" xfId="0" applyNumberFormat="1" applyFill="1" applyBorder="1"/>
    <xf numFmtId="3" fontId="0" fillId="0" borderId="66" xfId="2" applyNumberFormat="1" applyFont="1" applyFill="1" applyBorder="1"/>
    <xf numFmtId="9" fontId="0" fillId="0" borderId="66" xfId="2" applyFont="1" applyFill="1" applyBorder="1"/>
    <xf numFmtId="0" fontId="0" fillId="0" borderId="66" xfId="0" applyBorder="1"/>
    <xf numFmtId="0" fontId="61" fillId="0" borderId="0" xfId="5" applyFont="1" applyAlignment="1">
      <alignment vertical="center"/>
    </xf>
    <xf numFmtId="168" fontId="47" fillId="13" borderId="26" xfId="6" applyNumberFormat="1" applyBorder="1" applyAlignment="1">
      <alignment horizontal="center"/>
    </xf>
    <xf numFmtId="168" fontId="48" fillId="14" borderId="67" xfId="7" applyNumberFormat="1" applyBorder="1" applyAlignment="1">
      <alignment horizontal="center"/>
    </xf>
    <xf numFmtId="176" fontId="1" fillId="9" borderId="0" xfId="1" applyNumberFormat="1" applyFont="1" applyFill="1" applyBorder="1" applyProtection="1">
      <protection locked="0"/>
    </xf>
    <xf numFmtId="176" fontId="1" fillId="9" borderId="4" xfId="1" applyNumberFormat="1" applyFont="1" applyFill="1" applyBorder="1" applyProtection="1">
      <protection locked="0"/>
    </xf>
    <xf numFmtId="176" fontId="1" fillId="9" borderId="58" xfId="1" applyNumberFormat="1" applyFont="1" applyFill="1" applyBorder="1" applyAlignment="1" applyProtection="1">
      <protection locked="0"/>
    </xf>
    <xf numFmtId="166" fontId="3" fillId="0" borderId="68" xfId="1" applyNumberFormat="1" applyFont="1" applyFill="1" applyBorder="1" applyProtection="1">
      <protection locked="0"/>
    </xf>
    <xf numFmtId="166" fontId="13" fillId="0" borderId="65" xfId="1" applyNumberFormat="1" applyFont="1" applyFill="1" applyBorder="1" applyProtection="1">
      <protection locked="0"/>
    </xf>
    <xf numFmtId="166" fontId="13" fillId="0" borderId="2" xfId="1" applyNumberFormat="1" applyFont="1" applyFill="1" applyBorder="1" applyProtection="1"/>
    <xf numFmtId="37" fontId="13" fillId="0" borderId="0" xfId="0" applyNumberFormat="1" applyFont="1"/>
    <xf numFmtId="176" fontId="49" fillId="15" borderId="12" xfId="8" applyNumberFormat="1" applyBorder="1" applyAlignment="1" applyProtection="1">
      <alignment horizontal="center" wrapText="1"/>
      <protection locked="0"/>
    </xf>
    <xf numFmtId="176" fontId="49" fillId="15" borderId="13" xfId="8" applyNumberFormat="1" applyBorder="1" applyAlignment="1" applyProtection="1">
      <alignment horizontal="center" wrapText="1"/>
      <protection locked="0"/>
    </xf>
    <xf numFmtId="176" fontId="49" fillId="15" borderId="31" xfId="8" applyNumberFormat="1" applyBorder="1" applyAlignment="1" applyProtection="1">
      <alignment horizontal="center" wrapText="1"/>
      <protection locked="0"/>
    </xf>
    <xf numFmtId="176" fontId="49" fillId="15" borderId="33" xfId="8" applyNumberFormat="1" applyBorder="1" applyAlignment="1" applyProtection="1">
      <alignment horizontal="center" wrapText="1"/>
      <protection locked="0"/>
    </xf>
    <xf numFmtId="176" fontId="49" fillId="15" borderId="35" xfId="8" applyNumberFormat="1" applyBorder="1" applyAlignment="1" applyProtection="1">
      <alignment horizontal="center" wrapText="1"/>
      <protection locked="0"/>
    </xf>
    <xf numFmtId="176" fontId="49" fillId="15" borderId="34" xfId="8" applyNumberFormat="1" applyBorder="1" applyAlignment="1" applyProtection="1">
      <alignment horizontal="center" wrapText="1"/>
      <protection locked="0"/>
    </xf>
    <xf numFmtId="0" fontId="0" fillId="2" borderId="14" xfId="0" applyFill="1" applyBorder="1" applyAlignment="1">
      <alignment horizontal="left" wrapText="1"/>
    </xf>
    <xf numFmtId="0" fontId="0" fillId="2" borderId="0" xfId="0" applyFill="1" applyAlignment="1">
      <alignment horizontal="left" wrapText="1"/>
    </xf>
    <xf numFmtId="0" fontId="0" fillId="2" borderId="32" xfId="0" applyFill="1" applyBorder="1" applyAlignment="1">
      <alignment horizontal="left" wrapText="1"/>
    </xf>
    <xf numFmtId="0" fontId="0" fillId="2" borderId="33" xfId="0" applyFill="1" applyBorder="1" applyAlignment="1">
      <alignment horizontal="left" wrapText="1"/>
    </xf>
    <xf numFmtId="0" fontId="0" fillId="2" borderId="35" xfId="0" applyFill="1" applyBorder="1" applyAlignment="1">
      <alignment horizontal="left" wrapText="1"/>
    </xf>
    <xf numFmtId="0" fontId="0" fillId="2" borderId="34" xfId="0" applyFill="1" applyBorder="1" applyAlignment="1">
      <alignment horizontal="left" wrapText="1"/>
    </xf>
    <xf numFmtId="0" fontId="2" fillId="17" borderId="12" xfId="0" applyFont="1" applyFill="1" applyBorder="1" applyAlignment="1">
      <alignment vertical="center"/>
    </xf>
    <xf numFmtId="0" fontId="2" fillId="17" borderId="13" xfId="0" applyFont="1" applyFill="1" applyBorder="1" applyAlignment="1">
      <alignment vertical="center"/>
    </xf>
    <xf numFmtId="0" fontId="2" fillId="17" borderId="14" xfId="0" applyFont="1" applyFill="1" applyBorder="1" applyAlignment="1">
      <alignment vertical="center"/>
    </xf>
    <xf numFmtId="0" fontId="2" fillId="17" borderId="0" xfId="0" applyFont="1" applyFill="1" applyAlignment="1">
      <alignment vertical="center"/>
    </xf>
    <xf numFmtId="0" fontId="0" fillId="2" borderId="6" xfId="4" applyFont="1" applyFill="1" applyBorder="1" applyAlignment="1">
      <alignment horizontal="left" vertical="top" wrapText="1"/>
    </xf>
    <xf numFmtId="0" fontId="0" fillId="2" borderId="4" xfId="4" applyFont="1" applyFill="1" applyBorder="1" applyAlignment="1">
      <alignment horizontal="left" vertical="top" wrapText="1"/>
    </xf>
    <xf numFmtId="0" fontId="0" fillId="2" borderId="5" xfId="4" applyFont="1" applyFill="1" applyBorder="1" applyAlignment="1">
      <alignment horizontal="left" vertical="top" wrapText="1"/>
    </xf>
    <xf numFmtId="0" fontId="0" fillId="2" borderId="17" xfId="4" applyFont="1" applyFill="1" applyBorder="1" applyAlignment="1">
      <alignment horizontal="left" vertical="top" wrapText="1"/>
    </xf>
    <xf numFmtId="0" fontId="0" fillId="2" borderId="0" xfId="4" applyFont="1" applyFill="1" applyAlignment="1">
      <alignment horizontal="left" vertical="top" wrapText="1"/>
    </xf>
    <xf numFmtId="0" fontId="0" fillId="2" borderId="2" xfId="4" applyFont="1" applyFill="1" applyBorder="1" applyAlignment="1">
      <alignment horizontal="left" vertical="top" wrapText="1"/>
    </xf>
    <xf numFmtId="0" fontId="0" fillId="2" borderId="18" xfId="4" applyFont="1" applyFill="1" applyBorder="1" applyAlignment="1">
      <alignment horizontal="left" vertical="top" wrapText="1"/>
    </xf>
    <xf numFmtId="0" fontId="0" fillId="2" borderId="19" xfId="4" applyFont="1" applyFill="1" applyBorder="1" applyAlignment="1">
      <alignment horizontal="left" vertical="top" wrapText="1"/>
    </xf>
    <xf numFmtId="0" fontId="0" fillId="2" borderId="20" xfId="4" applyFont="1" applyFill="1" applyBorder="1" applyAlignment="1">
      <alignment horizontal="left" vertical="top" wrapText="1"/>
    </xf>
    <xf numFmtId="0" fontId="1" fillId="2" borderId="0" xfId="4" applyFill="1" applyAlignment="1">
      <alignment horizontal="left" wrapText="1"/>
    </xf>
    <xf numFmtId="0" fontId="1" fillId="2" borderId="28" xfId="4" applyFill="1" applyBorder="1" applyAlignment="1">
      <alignment horizontal="left" wrapText="1"/>
    </xf>
    <xf numFmtId="0" fontId="0" fillId="0" borderId="36" xfId="0" applyBorder="1" applyAlignment="1" applyProtection="1">
      <alignment horizontal="left" wrapText="1"/>
      <protection locked="0"/>
    </xf>
    <xf numFmtId="0" fontId="3" fillId="6" borderId="12" xfId="0" applyFont="1" applyFill="1" applyBorder="1" applyAlignment="1" applyProtection="1">
      <alignment horizontal="left" vertical="center" wrapText="1"/>
      <protection locked="0"/>
    </xf>
    <xf numFmtId="0" fontId="3" fillId="6" borderId="13" xfId="0" applyFont="1" applyFill="1" applyBorder="1" applyAlignment="1" applyProtection="1">
      <alignment horizontal="left" vertical="center" wrapText="1"/>
      <protection locked="0"/>
    </xf>
    <xf numFmtId="0" fontId="3" fillId="6" borderId="31" xfId="0" applyFont="1" applyFill="1" applyBorder="1" applyAlignment="1" applyProtection="1">
      <alignment horizontal="left" vertical="center" wrapText="1"/>
      <protection locked="0"/>
    </xf>
    <xf numFmtId="0" fontId="3" fillId="6" borderId="14" xfId="0" applyFont="1" applyFill="1" applyBorder="1" applyAlignment="1" applyProtection="1">
      <alignment horizontal="left" vertical="center" wrapText="1"/>
      <protection locked="0"/>
    </xf>
    <xf numFmtId="0" fontId="3" fillId="6" borderId="0" xfId="0" applyFont="1" applyFill="1" applyAlignment="1" applyProtection="1">
      <alignment horizontal="left" vertical="center" wrapText="1"/>
      <protection locked="0"/>
    </xf>
    <xf numFmtId="0" fontId="3" fillId="6" borderId="32" xfId="0" applyFont="1" applyFill="1" applyBorder="1" applyAlignment="1" applyProtection="1">
      <alignment horizontal="left" vertical="center" wrapText="1"/>
      <protection locked="0"/>
    </xf>
    <xf numFmtId="0" fontId="3" fillId="6" borderId="33" xfId="0" applyFont="1" applyFill="1" applyBorder="1" applyAlignment="1" applyProtection="1">
      <alignment horizontal="left" vertical="center" wrapText="1"/>
      <protection locked="0"/>
    </xf>
    <xf numFmtId="0" fontId="3" fillId="6" borderId="35" xfId="0" applyFont="1" applyFill="1" applyBorder="1" applyAlignment="1" applyProtection="1">
      <alignment horizontal="left" vertical="center" wrapText="1"/>
      <protection locked="0"/>
    </xf>
    <xf numFmtId="0" fontId="3" fillId="6" borderId="34" xfId="0" applyFont="1" applyFill="1" applyBorder="1" applyAlignment="1" applyProtection="1">
      <alignment horizontal="left" vertical="center" wrapText="1"/>
      <protection locked="0"/>
    </xf>
    <xf numFmtId="0" fontId="2" fillId="17" borderId="0" xfId="0" applyFont="1" applyFill="1" applyAlignment="1" applyProtection="1">
      <alignment horizontal="center"/>
      <protection locked="0"/>
    </xf>
    <xf numFmtId="0" fontId="0" fillId="0" borderId="63" xfId="0" applyBorder="1" applyAlignment="1" applyProtection="1">
      <alignment horizontal="center"/>
      <protection locked="0"/>
    </xf>
    <xf numFmtId="0" fontId="0" fillId="0" borderId="62" xfId="0" applyBorder="1" applyAlignment="1" applyProtection="1">
      <alignment horizontal="center"/>
      <protection locked="0"/>
    </xf>
    <xf numFmtId="0" fontId="2" fillId="17" borderId="54" xfId="3" applyFont="1" applyFill="1" applyBorder="1" applyAlignment="1" applyProtection="1">
      <alignment horizontal="center" vertical="center" textRotation="90" wrapText="1"/>
      <protection locked="0"/>
    </xf>
    <xf numFmtId="0" fontId="2" fillId="17" borderId="0" xfId="3" applyFont="1" applyFill="1" applyAlignment="1" applyProtection="1">
      <alignment horizontal="center" vertical="center" textRotation="90" wrapText="1"/>
      <protection locked="0"/>
    </xf>
    <xf numFmtId="0" fontId="3" fillId="0" borderId="63" xfId="0" applyFont="1" applyBorder="1" applyAlignment="1" applyProtection="1">
      <alignment horizontal="center"/>
      <protection locked="0"/>
    </xf>
    <xf numFmtId="0" fontId="3" fillId="0" borderId="62" xfId="0" applyFont="1" applyBorder="1" applyAlignment="1" applyProtection="1">
      <alignment horizontal="center"/>
      <protection locked="0"/>
    </xf>
    <xf numFmtId="0" fontId="49" fillId="15" borderId="12" xfId="8" applyBorder="1" applyAlignment="1" applyProtection="1">
      <alignment horizontal="left" vertical="center" wrapText="1"/>
      <protection locked="0"/>
    </xf>
    <xf numFmtId="0" fontId="49" fillId="15" borderId="13" xfId="8" applyBorder="1" applyAlignment="1" applyProtection="1">
      <alignment horizontal="left" vertical="center" wrapText="1"/>
      <protection locked="0"/>
    </xf>
    <xf numFmtId="0" fontId="49" fillId="15" borderId="31" xfId="8" applyBorder="1" applyAlignment="1" applyProtection="1">
      <alignment horizontal="left" vertical="center" wrapText="1"/>
      <protection locked="0"/>
    </xf>
    <xf numFmtId="0" fontId="49" fillId="15" borderId="14" xfId="8" applyBorder="1" applyAlignment="1" applyProtection="1">
      <alignment horizontal="left" vertical="center" wrapText="1"/>
      <protection locked="0"/>
    </xf>
    <xf numFmtId="0" fontId="49" fillId="15" borderId="0" xfId="8" applyBorder="1" applyAlignment="1" applyProtection="1">
      <alignment horizontal="left" vertical="center" wrapText="1"/>
      <protection locked="0"/>
    </xf>
    <xf numFmtId="0" fontId="49" fillId="15" borderId="32" xfId="8" applyBorder="1" applyAlignment="1" applyProtection="1">
      <alignment horizontal="left" vertical="center" wrapText="1"/>
      <protection locked="0"/>
    </xf>
    <xf numFmtId="0" fontId="49" fillId="15" borderId="33" xfId="8" applyBorder="1" applyAlignment="1" applyProtection="1">
      <alignment horizontal="left" vertical="center" wrapText="1"/>
      <protection locked="0"/>
    </xf>
    <xf numFmtId="0" fontId="49" fillId="15" borderId="35" xfId="8" applyBorder="1" applyAlignment="1" applyProtection="1">
      <alignment horizontal="left" vertical="center" wrapText="1"/>
      <protection locked="0"/>
    </xf>
    <xf numFmtId="0" fontId="49" fillId="15" borderId="34" xfId="8" applyBorder="1" applyAlignment="1" applyProtection="1">
      <alignment horizontal="left" vertical="center" wrapText="1"/>
      <protection locked="0"/>
    </xf>
    <xf numFmtId="0" fontId="40" fillId="7" borderId="12" xfId="0" applyFont="1" applyFill="1" applyBorder="1" applyAlignment="1" applyProtection="1">
      <alignment horizontal="left" vertical="center" wrapText="1"/>
      <protection locked="0"/>
    </xf>
    <xf numFmtId="0" fontId="40" fillId="7" borderId="13" xfId="0" applyFont="1" applyFill="1" applyBorder="1" applyAlignment="1" applyProtection="1">
      <alignment horizontal="left" vertical="center" wrapText="1"/>
      <protection locked="0"/>
    </xf>
    <xf numFmtId="0" fontId="40" fillId="7" borderId="31" xfId="0" applyFont="1" applyFill="1" applyBorder="1" applyAlignment="1" applyProtection="1">
      <alignment horizontal="left" vertical="center" wrapText="1"/>
      <protection locked="0"/>
    </xf>
    <xf numFmtId="0" fontId="40" fillId="7" borderId="14" xfId="0" applyFont="1" applyFill="1" applyBorder="1" applyAlignment="1" applyProtection="1">
      <alignment horizontal="left" vertical="center" wrapText="1"/>
      <protection locked="0"/>
    </xf>
    <xf numFmtId="0" fontId="40" fillId="7" borderId="0" xfId="0" applyFont="1" applyFill="1" applyAlignment="1" applyProtection="1">
      <alignment horizontal="left" vertical="center" wrapText="1"/>
      <protection locked="0"/>
    </xf>
    <xf numFmtId="0" fontId="40" fillId="7" borderId="32" xfId="0" applyFont="1" applyFill="1" applyBorder="1" applyAlignment="1" applyProtection="1">
      <alignment horizontal="left" vertical="center" wrapText="1"/>
      <protection locked="0"/>
    </xf>
    <xf numFmtId="0" fontId="40" fillId="7" borderId="33" xfId="0" applyFont="1" applyFill="1" applyBorder="1" applyAlignment="1" applyProtection="1">
      <alignment horizontal="left" vertical="center" wrapText="1"/>
      <protection locked="0"/>
    </xf>
    <xf numFmtId="0" fontId="40" fillId="7" borderId="35" xfId="0" applyFont="1" applyFill="1" applyBorder="1" applyAlignment="1" applyProtection="1">
      <alignment horizontal="left" vertical="center" wrapText="1"/>
      <protection locked="0"/>
    </xf>
    <xf numFmtId="0" fontId="40" fillId="7" borderId="34" xfId="0" applyFont="1" applyFill="1" applyBorder="1" applyAlignment="1" applyProtection="1">
      <alignment horizontal="left" vertical="center" wrapText="1"/>
      <protection locked="0"/>
    </xf>
    <xf numFmtId="176" fontId="1" fillId="9" borderId="12" xfId="1" applyNumberFormat="1" applyFont="1" applyFill="1" applyBorder="1" applyAlignment="1" applyProtection="1">
      <alignment horizontal="center" wrapText="1"/>
      <protection locked="0"/>
    </xf>
    <xf numFmtId="176" fontId="1" fillId="9" borderId="13" xfId="1" applyNumberFormat="1" applyFont="1" applyFill="1" applyBorder="1" applyAlignment="1" applyProtection="1">
      <alignment horizontal="center" wrapText="1"/>
      <protection locked="0"/>
    </xf>
    <xf numFmtId="176" fontId="1" fillId="9" borderId="31" xfId="1" applyNumberFormat="1" applyFont="1" applyFill="1" applyBorder="1" applyAlignment="1" applyProtection="1">
      <alignment horizontal="center" wrapText="1"/>
      <protection locked="0"/>
    </xf>
    <xf numFmtId="176" fontId="1" fillId="9" borderId="33" xfId="1" applyNumberFormat="1" applyFont="1" applyFill="1" applyBorder="1" applyAlignment="1" applyProtection="1">
      <alignment horizontal="center" wrapText="1"/>
      <protection locked="0"/>
    </xf>
    <xf numFmtId="176" fontId="1" fillId="9" borderId="35" xfId="1" applyNumberFormat="1" applyFont="1" applyFill="1" applyBorder="1" applyAlignment="1" applyProtection="1">
      <alignment horizontal="center" wrapText="1"/>
      <protection locked="0"/>
    </xf>
    <xf numFmtId="176" fontId="1" fillId="9" borderId="34" xfId="1" applyNumberFormat="1" applyFont="1" applyFill="1" applyBorder="1" applyAlignment="1" applyProtection="1">
      <alignment horizontal="center" wrapText="1"/>
      <protection locked="0"/>
    </xf>
    <xf numFmtId="0" fontId="2" fillId="10" borderId="54" xfId="3" applyFont="1" applyFill="1" applyBorder="1" applyAlignment="1" applyProtection="1">
      <alignment horizontal="center" vertical="center" textRotation="90" wrapText="1"/>
      <protection locked="0"/>
    </xf>
    <xf numFmtId="0" fontId="49" fillId="15" borderId="0" xfId="8" applyAlignment="1" applyProtection="1">
      <alignment horizontal="left" vertical="center" wrapText="1"/>
      <protection locked="0"/>
    </xf>
  </cellXfs>
  <cellStyles count="10">
    <cellStyle name="Bad" xfId="7" builtinId="27"/>
    <cellStyle name="Comma" xfId="1" builtinId="3"/>
    <cellStyle name="Good" xfId="6" builtinId="26"/>
    <cellStyle name="Hyperlink" xfId="5" builtinId="8"/>
    <cellStyle name="Neutral" xfId="8" builtinId="28"/>
    <cellStyle name="Normal" xfId="0" builtinId="0"/>
    <cellStyle name="Normal 10" xfId="9" xr:uid="{5528953A-BC5C-4F1D-B2AE-CDAE145103BD}"/>
    <cellStyle name="Normal 2" xfId="3" xr:uid="{97E5E353-1765-4BD5-8290-4BB09BAF5ADF}"/>
    <cellStyle name="Normal 2 2" xfId="4" xr:uid="{D674D7F6-0F2E-45DF-83C4-2D3526887A9A}"/>
    <cellStyle name="Percent" xfId="2" builtinId="5"/>
  </cellStyles>
  <dxfs count="7">
    <dxf>
      <font>
        <color theme="5"/>
      </font>
      <fill>
        <patternFill>
          <bgColor theme="4"/>
        </patternFill>
      </fill>
    </dxf>
    <dxf>
      <font>
        <color theme="7"/>
      </font>
      <fill>
        <patternFill>
          <bgColor theme="6"/>
        </patternFill>
      </fill>
    </dxf>
    <dxf>
      <font>
        <color theme="2"/>
      </font>
      <fill>
        <patternFill>
          <bgColor theme="3"/>
        </patternFill>
      </fill>
    </dxf>
    <dxf>
      <font>
        <color theme="5"/>
      </font>
      <fill>
        <patternFill>
          <bgColor theme="4"/>
        </patternFill>
      </fill>
    </dxf>
    <dxf>
      <font>
        <color theme="7"/>
      </font>
      <fill>
        <patternFill>
          <bgColor theme="6"/>
        </patternFill>
      </fill>
    </dxf>
    <dxf>
      <font>
        <color theme="2"/>
      </font>
      <fill>
        <patternFill>
          <bgColor theme="3"/>
        </patternFill>
      </fill>
    </dxf>
    <dxf>
      <font>
        <color rgb="FF006100"/>
      </font>
      <fill>
        <patternFill>
          <bgColor rgb="FFC6EFCE"/>
        </patternFill>
      </fill>
    </dxf>
  </dxfs>
  <tableStyles count="0" defaultTableStyle="TableStyleMedium2" defaultPivotStyle="PivotStyleLight16"/>
  <colors>
    <mruColors>
      <color rgb="FFCC0000"/>
      <color rgb="FFE82127"/>
      <color rgb="FFFFDDDD"/>
      <color rgb="FFFCD0D0"/>
      <color rgb="FFFF7E79"/>
      <color rgb="FFFFFFCC"/>
      <color rgb="FFFFE5E5"/>
      <color rgb="FFFFE7E7"/>
      <color rgb="FFFED6D6"/>
      <color rgb="FF133E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140805</xdr:colOff>
      <xdr:row>2</xdr:row>
      <xdr:rowOff>49694</xdr:rowOff>
    </xdr:from>
    <xdr:to>
      <xdr:col>3</xdr:col>
      <xdr:colOff>364435</xdr:colOff>
      <xdr:row>5</xdr:row>
      <xdr:rowOff>5515</xdr:rowOff>
    </xdr:to>
    <xdr:pic>
      <xdr:nvPicPr>
        <xdr:cNvPr id="4" name="Picture 3">
          <a:extLst>
            <a:ext uri="{FF2B5EF4-FFF2-40B4-BE49-F238E27FC236}">
              <a16:creationId xmlns:a16="http://schemas.microsoft.com/office/drawing/2014/main" id="{C64C0AC8-0C5C-B4E7-5891-95AA4200FA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109" y="438977"/>
          <a:ext cx="2385391" cy="527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34292</xdr:colOff>
      <xdr:row>7</xdr:row>
      <xdr:rowOff>72392</xdr:rowOff>
    </xdr:from>
    <xdr:to>
      <xdr:col>10</xdr:col>
      <xdr:colOff>504825</xdr:colOff>
      <xdr:row>7</xdr:row>
      <xdr:rowOff>76200</xdr:rowOff>
    </xdr:to>
    <xdr:cxnSp macro="">
      <xdr:nvCxnSpPr>
        <xdr:cNvPr id="2" name="Straight Arrow Connector 1">
          <a:extLst>
            <a:ext uri="{FF2B5EF4-FFF2-40B4-BE49-F238E27FC236}">
              <a16:creationId xmlns:a16="http://schemas.microsoft.com/office/drawing/2014/main" id="{ECBC2FA1-FCEC-483C-AF81-EA4354101A0D}"/>
            </a:ext>
          </a:extLst>
        </xdr:cNvPr>
        <xdr:cNvCxnSpPr/>
      </xdr:nvCxnSpPr>
      <xdr:spPr>
        <a:xfrm flipH="1" flipV="1">
          <a:off x="10064117" y="1482092"/>
          <a:ext cx="470533" cy="38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34292</xdr:colOff>
      <xdr:row>8</xdr:row>
      <xdr:rowOff>91440</xdr:rowOff>
    </xdr:from>
    <xdr:to>
      <xdr:col>10</xdr:col>
      <xdr:colOff>504825</xdr:colOff>
      <xdr:row>8</xdr:row>
      <xdr:rowOff>95250</xdr:rowOff>
    </xdr:to>
    <xdr:cxnSp macro="">
      <xdr:nvCxnSpPr>
        <xdr:cNvPr id="3" name="Straight Arrow Connector 2">
          <a:extLst>
            <a:ext uri="{FF2B5EF4-FFF2-40B4-BE49-F238E27FC236}">
              <a16:creationId xmlns:a16="http://schemas.microsoft.com/office/drawing/2014/main" id="{D5B327E9-9F08-4D0D-B861-DADD10A4A03F}"/>
            </a:ext>
          </a:extLst>
        </xdr:cNvPr>
        <xdr:cNvCxnSpPr/>
      </xdr:nvCxnSpPr>
      <xdr:spPr>
        <a:xfrm flipH="1" flipV="1">
          <a:off x="10064117" y="1701165"/>
          <a:ext cx="470533" cy="38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36195</xdr:colOff>
      <xdr:row>9</xdr:row>
      <xdr:rowOff>76200</xdr:rowOff>
    </xdr:from>
    <xdr:to>
      <xdr:col>10</xdr:col>
      <xdr:colOff>495300</xdr:colOff>
      <xdr:row>9</xdr:row>
      <xdr:rowOff>76201</xdr:rowOff>
    </xdr:to>
    <xdr:cxnSp macro="">
      <xdr:nvCxnSpPr>
        <xdr:cNvPr id="4" name="Straight Arrow Connector 3">
          <a:extLst>
            <a:ext uri="{FF2B5EF4-FFF2-40B4-BE49-F238E27FC236}">
              <a16:creationId xmlns:a16="http://schemas.microsoft.com/office/drawing/2014/main" id="{F1F61E12-81FE-428F-9A81-EEDE9D518468}"/>
            </a:ext>
          </a:extLst>
        </xdr:cNvPr>
        <xdr:cNvCxnSpPr/>
      </xdr:nvCxnSpPr>
      <xdr:spPr>
        <a:xfrm flipH="1">
          <a:off x="10066020" y="1885950"/>
          <a:ext cx="459105"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xdr:colOff>
      <xdr:row>13</xdr:row>
      <xdr:rowOff>85725</xdr:rowOff>
    </xdr:from>
    <xdr:to>
      <xdr:col>10</xdr:col>
      <xdr:colOff>506730</xdr:colOff>
      <xdr:row>13</xdr:row>
      <xdr:rowOff>85726</xdr:rowOff>
    </xdr:to>
    <xdr:cxnSp macro="">
      <xdr:nvCxnSpPr>
        <xdr:cNvPr id="5" name="Straight Arrow Connector 4">
          <a:extLst>
            <a:ext uri="{FF2B5EF4-FFF2-40B4-BE49-F238E27FC236}">
              <a16:creationId xmlns:a16="http://schemas.microsoft.com/office/drawing/2014/main" id="{2699C00D-9451-45A8-8C9E-25BD3EB41E00}"/>
            </a:ext>
          </a:extLst>
        </xdr:cNvPr>
        <xdr:cNvCxnSpPr/>
      </xdr:nvCxnSpPr>
      <xdr:spPr>
        <a:xfrm flipH="1">
          <a:off x="10077450" y="2695575"/>
          <a:ext cx="459105"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Magni Silvia" id="{43BDDE95-9D39-6444-A72E-76AC080F74B3}" userId="S::magnis@usi.ch::36235862-df21-41dd-994c-d306ca1839b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52">
  <rv s="0">
    <fb>45775</fb>
    <v>0</v>
  </rv>
  <rv s="0">
    <fb>285.88</fb>
    <v>1</v>
  </rv>
  <rv s="0">
    <fb>472.41</fb>
    <v>1</v>
  </rv>
  <rv s="0">
    <fb>45776</fb>
    <v>0</v>
  </rv>
  <rv s="0">
    <fb>292.02999999999997</fb>
    <v>1</v>
  </rv>
  <rv s="0">
    <fb>475.53</fb>
    <v>1</v>
  </rv>
  <rv s="0">
    <fb>45777</fb>
    <v>0</v>
  </rv>
  <rv s="0">
    <fb>282.16000000000003</fb>
    <v>1</v>
  </rv>
  <rv s="0">
    <fb>475.47</fb>
    <v>1</v>
  </rv>
  <rv s="0">
    <fb>45778</fb>
    <v>0</v>
  </rv>
  <rv s="0">
    <fb>280.52</fb>
    <v>1</v>
  </rv>
  <rv s="0">
    <fb>481.68</fb>
    <v>1</v>
  </rv>
  <rv s="0">
    <fb>45779</fb>
    <v>0</v>
  </rv>
  <rv s="0">
    <fb>287.20999999999998</fb>
    <v>1</v>
  </rv>
  <rv s="0">
    <fb>488.83</fb>
    <v>1</v>
  </rv>
  <rv s="0">
    <fb>45782</fb>
    <v>0</v>
  </rv>
  <rv s="0">
    <fb>280.26</fb>
    <v>1</v>
  </rv>
  <rv s="0">
    <fb>485.93</fb>
    <v>1</v>
  </rv>
  <rv s="0">
    <fb>45783</fb>
    <v>0</v>
  </rv>
  <rv s="0">
    <fb>275.35000000000002</fb>
    <v>1</v>
  </rv>
  <rv s="0">
    <fb>481.41</fb>
    <v>1</v>
  </rv>
  <rv s="0">
    <fb>45784</fb>
    <v>0</v>
  </rv>
  <rv s="0">
    <fb>276.22000000000003</fb>
    <v>1</v>
  </rv>
  <rv s="0">
    <fb>483.3</fb>
    <v>1</v>
  </rv>
  <rv s="0">
    <fb>45785</fb>
    <v>0</v>
  </rv>
  <rv s="0">
    <fb>284.82</fb>
    <v>1</v>
  </rv>
  <rv s="0">
    <fb>488.29</fb>
    <v>1</v>
  </rv>
  <rv s="0">
    <fb>45786</fb>
    <v>0</v>
  </rv>
  <rv s="0">
    <fb>298.26</fb>
    <v>1</v>
  </rv>
  <rv s="0">
    <fb>487.97</fb>
    <v>1</v>
  </rv>
  <rv s="0">
    <fb>45789</fb>
    <v>0</v>
  </rv>
  <rv s="0">
    <fb>318.38</fb>
    <v>1</v>
  </rv>
  <rv s="0">
    <fb>507.85</fb>
    <v>1</v>
  </rv>
  <rv s="0">
    <fb>45790</fb>
    <v>0</v>
  </rv>
  <rv s="0">
    <fb>334.07</fb>
    <v>1</v>
  </rv>
  <rv s="0">
    <fb>515.59</fb>
    <v>1</v>
  </rv>
  <rv s="0">
    <fb>45791</fb>
    <v>0</v>
  </rv>
  <rv s="0">
    <fb>347.68</fb>
    <v>1</v>
  </rv>
  <rv s="0">
    <fb>518.67999999999995</fb>
    <v>1</v>
  </rv>
  <rv s="0">
    <fb>45792</fb>
    <v>0</v>
  </rv>
  <rv s="0">
    <fb>342.82</fb>
    <v>1</v>
  </rv>
  <rv s="0">
    <fb>519.25</fb>
    <v>1</v>
  </rv>
  <rv s="0">
    <fb>45793</fb>
    <v>0</v>
  </rv>
  <rv s="0">
    <fb>349.98</fb>
    <v>1</v>
  </rv>
  <rv s="0">
    <fb>521.51</fb>
    <v>1</v>
  </rv>
  <rv s="0">
    <fb>45796</fb>
    <v>0</v>
  </rv>
  <rv s="0">
    <fb>342.09</fb>
    <v>1</v>
  </rv>
  <rv s="0">
    <fb>522.01</fb>
    <v>1</v>
  </rv>
  <rv s="0">
    <fb>45797</fb>
    <v>0</v>
  </rv>
  <rv s="0">
    <fb>343.82</fb>
    <v>1</v>
  </rv>
  <rv s="0">
    <fb>520.27</fb>
    <v>1</v>
  </rv>
  <rv s="0">
    <fb>45798</fb>
    <v>0</v>
  </rv>
  <rv s="0">
    <fb>334.62</fb>
    <v>1</v>
  </rv>
  <rv s="0">
    <fb>513.04</fb>
    <v>1</v>
  </rv>
  <rv s="0">
    <fb>45799</fb>
    <v>0</v>
  </rv>
  <rv s="0">
    <fb>341.04</fb>
    <v>1</v>
  </rv>
  <rv s="0">
    <fb>514</fb>
    <v>1</v>
  </rv>
  <rv s="0">
    <fb>45800</fb>
    <v>0</v>
  </rv>
  <rv s="0">
    <fb>339.34</fb>
    <v>1</v>
  </rv>
  <rv s="0">
    <fb>509.24</fb>
    <v>1</v>
  </rv>
  <rv s="0">
    <fb>45804</fb>
    <v>0</v>
  </rv>
  <rv s="0">
    <fb>362.89</fb>
    <v>1</v>
  </rv>
  <rv s="0">
    <fb>521.22</fb>
    <v>1</v>
  </rv>
  <rv s="0">
    <fb>45805</fb>
    <v>0</v>
  </rv>
  <rv s="0">
    <fb>356.9</fb>
    <v>1</v>
  </rv>
  <rv s="0">
    <fb>518.91</fb>
    <v>1</v>
  </rv>
  <rv s="0">
    <fb>45806</fb>
    <v>0</v>
  </rv>
  <rv s="0">
    <fb>358.43</fb>
    <v>1</v>
  </rv>
  <rv s="0">
    <fb>519.92999999999995</fb>
    <v>1</v>
  </rv>
  <rv s="0">
    <fb>45807</fb>
    <v>0</v>
  </rv>
  <rv s="0">
    <fb>346.46</fb>
    <v>1</v>
  </rv>
  <rv s="0">
    <fb>519.11</fb>
    <v>1</v>
  </rv>
  <rv s="0">
    <fb>45810</fb>
    <v>0</v>
  </rv>
  <rv s="0">
    <fb>342.69</fb>
    <v>1</v>
  </rv>
  <rv s="0">
    <fb>523.21</fb>
    <v>1</v>
  </rv>
  <rv s="0">
    <fb>45811</fb>
    <v>0</v>
  </rv>
  <rv s="0">
    <fb>344.27</fb>
    <v>1</v>
  </rv>
  <rv s="0">
    <fb>527.29999999999995</fb>
    <v>1</v>
  </rv>
  <rv s="0">
    <fb>45812</fb>
    <v>0</v>
  </rv>
  <rv s="0">
    <fb>332.05</fb>
    <v>1</v>
  </rv>
  <rv s="0">
    <fb>528.77</fb>
    <v>1</v>
  </rv>
  <rv s="0">
    <fb>45813</fb>
    <v>0</v>
  </rv>
  <rv s="0">
    <fb>284.7</fb>
    <v>1</v>
  </rv>
  <rv s="0">
    <fb>524.79</fb>
    <v>1</v>
  </rv>
  <rv s="0">
    <fb>45814</fb>
    <v>0</v>
  </rv>
  <rv s="0">
    <fb>295.14</fb>
    <v>1</v>
  </rv>
  <rv s="0">
    <fb>529.91999999999996</fb>
    <v>1</v>
  </rv>
  <rv s="0">
    <fb>45817</fb>
    <v>0</v>
  </rv>
  <rv s="0">
    <fb>308.58</fb>
    <v>1</v>
  </rv>
  <rv s="0">
    <fb>530.70000000000005</fb>
    <v>1</v>
  </rv>
  <rv s="0">
    <fb>45818</fb>
    <v>0</v>
  </rv>
  <rv s="0">
    <fb>326.08999999999997</fb>
    <v>1</v>
  </rv>
  <rv s="0">
    <fb>534.21</fb>
    <v>1</v>
  </rv>
  <rv s="0">
    <fb>45819</fb>
    <v>0</v>
  </rv>
  <rv s="0">
    <fb>326.43</fb>
    <v>1</v>
  </rv>
  <rv s="0">
    <fb>532.41</fb>
    <v>1</v>
  </rv>
  <rv s="0">
    <fb>45820</fb>
    <v>0</v>
  </rv>
  <rv s="0">
    <fb>319.11</fb>
    <v>1</v>
  </rv>
  <rv s="0">
    <fb>533.66</fb>
    <v>1</v>
  </rv>
  <rv s="0">
    <fb>45821</fb>
    <v>0</v>
  </rv>
  <rv s="0">
    <fb>325.31</fb>
    <v>1</v>
  </rv>
  <rv s="0">
    <fb>526.96</fb>
    <v>1</v>
  </rv>
  <rv s="0">
    <fb>45824</fb>
    <v>0</v>
  </rv>
  <rv s="0">
    <fb>329.13</fb>
    <v>1</v>
  </rv>
  <rv s="0">
    <fb>534.29</fb>
    <v>1</v>
  </rv>
  <rv s="0">
    <fb>45825</fb>
    <v>0</v>
  </rv>
  <rv s="0">
    <fb>316.35000000000002</fb>
    <v>1</v>
  </rv>
  <rv s="0">
    <fb>529.08000000000004</fb>
    <v>1</v>
  </rv>
  <rv s="0">
    <fb>45826</fb>
    <v>0</v>
  </rv>
  <rv s="0">
    <fb>322.05</fb>
    <v>1</v>
  </rv>
  <rv s="0">
    <fb>528.99</fb>
    <v>1</v>
  </rv>
  <rv s="0">
    <fb>45828</fb>
    <v>0</v>
  </rv>
  <rv s="0">
    <fb>322.16000000000003</fb>
    <v>1</v>
  </rv>
  <rv s="0">
    <fb>526.83000000000004</fb>
    <v>1</v>
  </rv>
  <rv s="0">
    <fb>45831</fb>
    <v>0</v>
  </rv>
  <rv s="0">
    <fb>348.68</fb>
    <v>1</v>
  </rv>
  <rv s="0">
    <fb>531.65</fb>
    <v>1</v>
  </rv>
  <rv s="0">
    <fb>45832</fb>
    <v>0</v>
  </rv>
  <rv s="0">
    <fb>340.47</fb>
    <v>1</v>
  </rv>
  <rv s="0">
    <fb>539.78</fb>
    <v>1</v>
  </rv>
  <rv s="0">
    <fb>45833</fb>
    <v>0</v>
  </rv>
  <rv s="0">
    <fb>327.55</fb>
    <v>1</v>
  </rv>
  <rv s="0">
    <fb>541.16</fb>
    <v>1</v>
  </rv>
  <rv s="0">
    <fb>45834</fb>
    <v>0</v>
  </rv>
  <rv s="0">
    <fb>325.77999999999997</fb>
    <v>1</v>
  </rv>
  <rv s="0">
    <fb>546.22</fb>
    <v>1</v>
  </rv>
  <rv s="0">
    <fb>45835</fb>
    <v>0</v>
  </rv>
  <rv s="0">
    <fb>323.63</fb>
    <v>1</v>
  </rv>
  <rv s="0">
    <fb>548.09</fb>
    <v>1</v>
  </rv>
  <rv s="0">
    <fb>45838</fb>
    <v>0</v>
  </rv>
  <rv s="0">
    <fb>317.66000000000003</fb>
    <v>1</v>
  </rv>
  <rv s="0">
    <fb>551.64</fb>
    <v>1</v>
  </rv>
  <rv s="0">
    <fb>45839</fb>
    <v>0</v>
  </rv>
  <rv s="0">
    <fb>300.70999999999998</fb>
    <v>1</v>
  </rv>
  <rv s="0">
    <fb>546.99</fb>
    <v>1</v>
  </rv>
  <rv s="0">
    <fb>45840</fb>
    <v>0</v>
  </rv>
  <rv s="0">
    <fb>315.64999999999998</fb>
    <v>1</v>
  </rv>
  <rv s="0">
    <fb>550.79999999999995</fb>
    <v>1</v>
  </rv>
  <rv s="0">
    <fb>45841</fb>
    <v>0</v>
  </rv>
  <rv s="0">
    <fb>315.35000000000002</fb>
    <v>1</v>
  </rv>
  <rv s="0">
    <fb>556.22</fb>
    <v>1</v>
  </rv>
  <rv s="0">
    <fb>45845</fb>
    <v>0</v>
  </rv>
  <rv s="0">
    <fb>293.94</fb>
    <v>1</v>
  </rv>
  <rv s="0">
    <fb>552.03</fb>
    <v>1</v>
  </rv>
  <rv s="0">
    <fb>45846</fb>
    <v>0</v>
  </rv>
  <rv s="0">
    <fb>297.81</fb>
    <v>1</v>
  </rv>
  <rv s="0">
    <fb>552.34</fb>
    <v>1</v>
  </rv>
  <rv s="0">
    <fb>45847</fb>
    <v>0</v>
  </rv>
  <rv s="0">
    <fb>295.88</fb>
    <v>1</v>
  </rv>
  <rv s="0">
    <fb>556.25</fb>
    <v>1</v>
  </rv>
  <rv s="0">
    <fb>45848</fb>
    <v>0</v>
  </rv>
  <rv s="0">
    <fb>309.87</fb>
    <v>1</v>
  </rv>
  <rv s="0">
    <fb>555.45000000000005</fb>
    <v>1</v>
  </rv>
  <rv s="0">
    <fb>45849</fb>
    <v>0</v>
  </rv>
  <rv s="0">
    <fb>313.51</fb>
    <v>1</v>
  </rv>
  <rv s="0">
    <fb>554.20000000000005</fb>
    <v>1</v>
  </rv>
  <rv s="0">
    <fb>45852</fb>
    <v>0</v>
  </rv>
  <rv s="0">
    <fb>316.89999999999998</fb>
    <v>1</v>
  </rv>
  <rv s="0">
    <fb>556.21</fb>
    <v>1</v>
  </rv>
  <rv s="0">
    <fb>45853</fb>
    <v>0</v>
  </rv>
  <rv s="0">
    <fb>310.77999999999997</fb>
    <v>1</v>
  </rv>
  <rv s="0">
    <fb>556.72</fb>
    <v>1</v>
  </rv>
  <rv s="0">
    <fb>45854</fb>
    <v>0</v>
  </rv>
  <rv s="0">
    <fb>321.67</fb>
    <v>1</v>
  </rv>
  <rv s="0">
    <fb>557.29</fb>
    <v>1</v>
  </rv>
  <rv s="0">
    <fb>45855</fb>
    <v>0</v>
  </rv>
  <rv s="0">
    <fb>319.41000000000003</fb>
    <v>1</v>
  </rv>
  <rv s="0">
    <fb>561.79999999999995</fb>
    <v>1</v>
  </rv>
  <rv s="0">
    <fb>45856</fb>
    <v>0</v>
  </rv>
  <rv s="0">
    <fb>329.65</fb>
    <v>1</v>
  </rv>
  <rv s="0">
    <fb>561.26</fb>
    <v>1</v>
  </rv>
  <rv s="0">
    <fb>45859</fb>
    <v>0</v>
  </rv>
  <rv s="0">
    <fb>328.49</fb>
    <v>1</v>
  </rv>
  <rv s="0">
    <fb>564.16999999999996</fb>
    <v>1</v>
  </rv>
  <rv s="0">
    <fb>45860</fb>
    <v>0</v>
  </rv>
  <rv s="0">
    <fb>332.11</fb>
    <v>1</v>
  </rv>
  <rv s="0">
    <fb>561.25</fb>
    <v>1</v>
  </rv>
  <rv s="0">
    <fb>45861</fb>
    <v>0</v>
  </rv>
  <rv s="0">
    <fb>332.56</fb>
    <v>1</v>
  </rv>
  <rv s="0">
    <fb>563.80999999999995</fb>
    <v>1</v>
  </rv>
  <rv s="0">
    <fb>45862</fb>
    <v>0</v>
  </rv>
  <rv s="0">
    <fb>305.3</fb>
    <v>1</v>
  </rv>
  <rv s="0">
    <fb>565.01</fb>
    <v>1</v>
  </rv>
  <rv s="0">
    <fb>45863</fb>
    <v>0</v>
  </rv>
  <rv s="0">
    <fb>316.06</fb>
    <v>1</v>
  </rv>
  <rv s="0">
    <fb>566.37</fb>
    <v>1</v>
  </rv>
  <rv s="0">
    <fb>45866</fb>
    <v>0</v>
  </rv>
  <rv s="0">
    <fb>325.58999999999997</fb>
    <v>1</v>
  </rv>
  <rv s="0">
    <fb>568.14</fb>
    <v>1</v>
  </rv>
  <rv s="0">
    <fb>45867</fb>
    <v>0</v>
  </rv>
  <rv s="0">
    <fb>321.2</fb>
    <v>1</v>
  </rv>
  <rv s="0">
    <fb>567.26</fb>
    <v>1</v>
  </rv>
  <rv s="0">
    <fb>45868</fb>
    <v>0</v>
  </rv>
  <rv s="0">
    <fb>319.04000000000002</fb>
    <v>1</v>
  </rv>
  <rv s="0">
    <fb>568.02</fb>
    <v>1</v>
  </rv>
  <rv s="0">
    <fb>45869</fb>
    <v>0</v>
  </rv>
  <rv s="0">
    <fb>308.27</fb>
    <v>1</v>
  </rv>
  <rv s="0">
    <fb>45870</fb>
    <v>0</v>
  </rv>
  <rv s="0">
    <fb>302.63</fb>
    <v>1</v>
  </rv>
  <rv s="0">
    <fb>553.88</fb>
    <v>1</v>
  </rv>
  <rv s="0">
    <fb>45873</fb>
    <v>0</v>
  </rv>
  <rv s="0">
    <fb>309.26</fb>
    <v>1</v>
  </rv>
  <rv s="0">
    <fb>564.1</fb>
    <v>1</v>
  </rv>
  <rv s="0">
    <fb>45874</fb>
    <v>0</v>
  </rv>
  <rv s="0">
    <fb>308.72000000000003</fb>
    <v>1</v>
  </rv>
  <rv s="0">
    <fb>560.27</fb>
    <v>1</v>
  </rv>
  <rv s="0">
    <fb>45875</fb>
    <v>0</v>
  </rv>
  <rv s="0">
    <fb>319.91000000000003</fb>
    <v>1</v>
  </rv>
  <rv s="0">
    <fb>567.32000000000005</fb>
    <v>1</v>
  </rv>
  <rv s="0">
    <fb>45876</fb>
    <v>0</v>
  </rv>
  <rv s="0">
    <fb>322.27</fb>
    <v>1</v>
  </rv>
  <rv s="0">
    <fb>569.24</fb>
    <v>1</v>
  </rv>
  <rv s="0">
    <fb>45877</fb>
    <v>0</v>
  </rv>
  <rv s="0">
    <fb>574.54999999999995</fb>
    <v>1</v>
  </rv>
  <rv s="0">
    <fb>45880</fb>
    <v>0</v>
  </rv>
  <rv s="0">
    <fb>339.03</fb>
    <v>1</v>
  </rv>
  <rv s="0">
    <fb>572.85</fb>
    <v>1</v>
  </rv>
  <rv s="0">
    <fb>45881</fb>
    <v>0</v>
  </rv>
  <rv s="0">
    <fb>340.84</fb>
    <v>1</v>
  </rv>
  <rv s="0">
    <fb>580.04999999999995</fb>
    <v>1</v>
  </rv>
  <rv s="0">
    <fb>45882</fb>
    <v>0</v>
  </rv>
  <rv s="0">
    <fb>339.38</fb>
    <v>1</v>
  </rv>
  <rv s="0">
    <fb>580.34</fb>
    <v>1</v>
  </rv>
  <rv s="0">
    <fb>45883</fb>
    <v>0</v>
  </rv>
  <rv s="0">
    <fb>335.58</fb>
    <v>1</v>
  </rv>
  <rv s="0">
    <fb>579.89</fb>
    <v>1</v>
  </rv>
  <rv s="0">
    <fb>45884</fb>
    <v>0</v>
  </rv>
  <rv s="0">
    <fb>330.56</fb>
    <v>1</v>
  </rv>
  <rv s="0">
    <fb>577.34</fb>
    <v>1</v>
  </rv>
  <rv s="0">
    <fb>45887</fb>
    <v>0</v>
  </rv>
  <rv s="0">
    <fb>335.16</fb>
    <v>1</v>
  </rv>
  <rv s="0">
    <fb>577.11</fb>
    <v>1</v>
  </rv>
  <rv s="0">
    <fb>45888</fb>
    <v>0</v>
  </rv>
  <rv s="0">
    <fb>329.31</fb>
    <v>1</v>
  </rv>
  <rv s="0">
    <fb>569.28</fb>
    <v>1</v>
  </rv>
  <rv s="0">
    <fb>45889</fb>
    <v>0</v>
  </rv>
  <rv s="0">
    <fb>323.89999999999998</fb>
    <v>1</v>
  </rv>
  <rv s="0">
    <fb>565.9</fb>
    <v>1</v>
  </rv>
  <rv s="0">
    <fb>45890</fb>
    <v>0</v>
  </rv>
  <rv s="0">
    <fb>320.11</fb>
    <v>1</v>
  </rv>
  <rv s="0">
    <fb>563.28</fb>
    <v>1</v>
  </rv>
  <rv s="0">
    <fb>45891</fb>
    <v>0</v>
  </rv>
  <rv s="0">
    <fb>340.01</fb>
    <v>1</v>
  </rv>
  <rv s="0">
    <fb>571.97</fb>
    <v>1</v>
  </rv>
  <rv s="0">
    <fb>45894</fb>
    <v>0</v>
  </rv>
  <rv s="0">
    <fb>346.6</fb>
    <v>1</v>
  </rv>
  <rv s="0">
    <fb>570.32000000000005</fb>
    <v>1</v>
  </rv>
  <rv s="0">
    <fb>45895</fb>
    <v>0</v>
  </rv>
  <rv s="0">
    <fb>351.67</fb>
    <v>1</v>
  </rv>
  <rv s="0">
    <fb>572.61</fb>
    <v>1</v>
  </rv>
  <rv s="0">
    <fb>45896</fb>
    <v>0</v>
  </rv>
  <rv s="0">
    <fb>349.6</fb>
    <v>1</v>
  </rv>
  <rv s="0">
    <fb>573.49</fb>
    <v>1</v>
  </rv>
  <rv s="0">
    <fb>45897</fb>
    <v>0</v>
  </rv>
  <rv s="0">
    <fb>345.98</fb>
    <v>1</v>
  </rv>
  <rv s="0">
    <fb>577.08000000000004</fb>
    <v>1</v>
  </rv>
  <rv s="0">
    <fb>45898</fb>
    <v>0</v>
  </rv>
  <rv s="0">
    <fb>333.87</fb>
    <v>1</v>
  </rv>
  <rv s="0">
    <fb>570.4</fb>
    <v>1</v>
  </rv>
  <rv s="0">
    <fb>45902</fb>
    <v>0</v>
  </rv>
  <rv s="0">
    <fb>329.36</fb>
    <v>1</v>
  </rv>
  <rv s="0">
    <fb>565.62</fb>
    <v>1</v>
  </rv>
  <rv s="0">
    <fb>45903</fb>
    <v>0</v>
  </rv>
  <rv s="0">
    <fb>334.09</fb>
    <v>1</v>
  </rv>
  <rv s="0">
    <fb>570.07000000000005</fb>
    <v>1</v>
  </rv>
  <rv s="0">
    <fb>45904</fb>
    <v>0</v>
  </rv>
  <rv s="0">
    <fb>338.53</fb>
    <v>1</v>
  </rv>
  <rv s="0">
    <fb>575.23</fb>
    <v>1</v>
  </rv>
  <rv s="0">
    <fb>45905</fb>
    <v>0</v>
  </rv>
  <rv s="0">
    <fb>350.84</fb>
    <v>1</v>
  </rv>
  <rv s="0">
    <fb>576.05999999999995</fb>
    <v>1</v>
  </rv>
  <rv s="0">
    <fb>45908</fb>
    <v>0</v>
  </rv>
  <rv s="0">
    <fb>346.4</fb>
    <v>1</v>
  </rv>
  <rv s="0">
    <fb>578.87</fb>
    <v>1</v>
  </rv>
  <rv s="0">
    <fb>45909</fb>
    <v>0</v>
  </rv>
  <rv s="0">
    <fb>346.97</fb>
    <v>1</v>
  </rv>
  <rv s="0">
    <fb>580.51</fb>
    <v>1</v>
  </rv>
  <rv s="0">
    <fb>45910</fb>
    <v>0</v>
  </rv>
  <rv s="0">
    <fb>347.79</fb>
    <v>1</v>
  </rv>
  <rv s="0">
    <fb>580.70000000000005</fb>
    <v>1</v>
  </rv>
  <rv s="0">
    <fb>45911</fb>
    <v>0</v>
  </rv>
  <rv s="0">
    <fb>368.81</fb>
    <v>1</v>
  </rv>
  <rv s="0">
    <fb>584.08000000000004</fb>
    <v>1</v>
  </rv>
  <rv s="0">
    <fb>45912</fb>
    <v>0</v>
  </rv>
  <rv s="0">
    <fb>395.94</fb>
    <v>1</v>
  </rv>
  <rv s="0">
    <fb>586.66</fb>
    <v>1</v>
  </rv>
  <rv s="0">
    <fb>45915</fb>
    <v>0</v>
  </rv>
  <rv s="0">
    <fb>410.04</fb>
    <v>1</v>
  </rv>
  <rv s="0">
    <fb>591.67999999999995</fb>
    <v>1</v>
  </rv>
  <rv s="0">
    <fb>45916</fb>
    <v>0</v>
  </rv>
  <rv s="0">
    <fb>421.62</fb>
    <v>1</v>
  </rv>
  <rv s="0">
    <fb>591.17999999999995</fb>
    <v>1</v>
  </rv>
  <rv s="0">
    <fb>45917</fb>
    <v>0</v>
  </rv>
  <rv s="0">
    <fb>425.86</fb>
    <v>1</v>
  </rv>
  <rv s="0">
    <fb>590</fb>
    <v>1</v>
  </rv>
  <rv s="0">
    <fb>45918</fb>
    <v>0</v>
  </rv>
  <rv s="0">
    <fb>416.85</fb>
    <v>1</v>
  </rv>
  <rv s="0">
    <fb>595.32000000000005</fb>
    <v>1</v>
  </rv>
  <rv s="0">
    <fb>45919</fb>
    <v>0</v>
  </rv>
  <rv s="0">
    <fb>426.07</fb>
    <v>1</v>
  </rv>
  <rv s="0">
    <fb>599.35</fb>
    <v>1</v>
  </rv>
  <rv s="0">
    <fb>45922</fb>
    <v>0</v>
  </rv>
  <rv s="0">
    <fb>434.21</fb>
    <v>1</v>
  </rv>
  <rv s="0">
    <fb>602.20000000000005</fb>
    <v>1</v>
  </rv>
  <rv s="0">
    <fb>45923</fb>
    <v>0</v>
  </rv>
  <rv s="0">
    <fb>425.85</fb>
    <v>1</v>
  </rv>
  <rv s="0">
    <fb>598.20000000000005</fb>
    <v>1</v>
  </rv>
  <rv s="0">
    <fb>45924</fb>
    <v>0</v>
  </rv>
  <rv s="0">
    <fb>442.79</fb>
    <v>1</v>
  </rv>
  <rv s="0">
    <fb>596.1</fb>
    <v>1</v>
  </rv>
  <rv s="0">
    <fb>45925</fb>
    <v>0</v>
  </rv>
  <rv s="0">
    <fb>423.39</fb>
    <v>1</v>
  </rv>
  <rv s="0">
    <fb>593.53</fb>
    <v>1</v>
  </rv>
  <rv s="0">
    <fb>45926</fb>
    <v>0</v>
  </rv>
  <rv s="0">
    <fb>440.4</fb>
    <v>1</v>
  </rv>
  <rv s="0">
    <fb>595.97</fb>
    <v>1</v>
  </rv>
  <rv s="0">
    <fb>45929</fb>
    <v>0</v>
  </rv>
  <rv s="0">
    <fb>443.21</fb>
    <v>1</v>
  </rv>
  <rv s="0">
    <fb>598.73</fb>
    <v>1</v>
  </rv>
  <rv s="0">
    <fb>45930</fb>
    <v>0</v>
  </rv>
  <rv s="0">
    <fb>444.72</fb>
    <v>1</v>
  </rv>
  <rv s="0">
    <fb>600.37</fb>
    <v>1</v>
  </rv>
  <rv s="0">
    <fb>45931</fb>
    <v>0</v>
  </rv>
  <rv s="0">
    <fb>459.46</fb>
    <v>1</v>
  </rv>
  <rv s="0">
    <fb>603.25</fb>
    <v>1</v>
  </rv>
  <rv s="0">
    <fb>45932</fb>
    <v>0</v>
  </rv>
  <rv s="0">
    <fb>436</fb>
    <v>1</v>
  </rv>
  <rv s="0">
    <fb>605.73</fb>
    <v>1</v>
  </rv>
  <rv s="0">
    <fb>45933</fb>
    <v>0</v>
  </rv>
  <rv s="0">
    <fb>429.83</fb>
    <v>1</v>
  </rv>
  <rv s="0">
    <fb>603.17999999999995</fb>
    <v>1</v>
  </rv>
  <rv s="0">
    <fb>45936</fb>
    <v>0</v>
  </rv>
  <rv s="0">
    <fb>453.25</fb>
    <v>1</v>
  </rv>
  <rv s="0">
    <fb>607.71</fb>
    <v>1</v>
  </rv>
  <rv s="0">
    <fb>45937</fb>
    <v>0</v>
  </rv>
  <rv s="0">
    <fb>433.09</fb>
    <v>1</v>
  </rv>
  <rv s="0">
    <fb>604.51</fb>
    <v>1</v>
  </rv>
  <rv s="0">
    <fb>45938</fb>
    <v>0</v>
  </rv>
  <rv s="0">
    <fb>438.69</fb>
    <v>1</v>
  </rv>
  <rv s="0">
    <fb>611.44000000000005</fb>
    <v>1</v>
  </rv>
  <rv s="0">
    <fb>45939</fb>
    <v>0</v>
  </rv>
  <rv s="0">
    <fb>435.54</fb>
    <v>1</v>
  </rv>
  <rv s="0">
    <fb>610.70000000000005</fb>
    <v>1</v>
  </rv>
  <rv s="0">
    <fb>45940</fb>
    <v>0</v>
  </rv>
  <rv s="0">
    <fb>413.49</fb>
    <v>1</v>
  </rv>
  <rv s="0">
    <fb>589.5</fb>
    <v>1</v>
  </rv>
  <rv s="0">
    <fb>45943</fb>
    <v>0</v>
  </rv>
  <rv s="0">
    <fb>435.9</fb>
    <v>1</v>
  </rv>
  <rv s="0">
    <fb>602.01</fb>
    <v>1</v>
  </rv>
  <rv s="0">
    <fb>45944</fb>
    <v>0</v>
  </rv>
  <rv s="0">
    <fb>429.24</fb>
    <v>1</v>
  </rv>
  <rv s="0">
    <fb>598</fb>
    <v>1</v>
  </rv>
  <rv s="0">
    <fb>45945</fb>
    <v>0</v>
  </rv>
  <rv s="0">
    <fb>435.15</fb>
    <v>1</v>
  </rv>
  <rv s="0">
    <fb>602.22</fb>
    <v>1</v>
  </rv>
  <rv s="0">
    <fb>45946</fb>
    <v>0</v>
  </rv>
  <rv s="0">
    <fb>428.75</fb>
    <v>1</v>
  </rv>
  <rv s="0">
    <fb>599.99</fb>
    <v>1</v>
  </rv>
  <rv s="0">
    <fb>45947</fb>
    <v>0</v>
  </rv>
  <rv s="0">
    <fb>439.31</fb>
    <v>1</v>
  </rv>
  <rv s="0">
    <fb>603.92999999999995</fb>
    <v>1</v>
  </rv>
  <rv s="0">
    <fb>45950</fb>
    <v>0</v>
  </rv>
  <rv s="0">
    <fb>447.43</fb>
    <v>1</v>
  </rv>
  <rv s="0">
    <fb>611.54</fb>
    <v>1</v>
  </rv>
  <rv s="0">
    <fb>45951</fb>
    <v>0</v>
  </rv>
  <rv s="0">
    <fb>442.6</fb>
    <v>1</v>
  </rv>
  <rv s="0">
    <fb>611.38</fb>
    <v>1</v>
  </rv>
  <rv s="0">
    <fb>45952</fb>
    <v>0</v>
  </rv>
  <rv s="0">
    <fb>438.97</fb>
    <v>1</v>
  </rv>
  <rv s="0">
    <fb>605.49</fb>
    <v>1</v>
  </rv>
  <rv s="0">
    <fb>45953</fb>
    <v>0</v>
  </rv>
  <rv s="0">
    <fb>448.98</fb>
    <v>1</v>
  </rv>
  <rv s="0">
    <fb>610.58000000000004</fb>
    <v>1</v>
  </rv>
  <rv s="0">
    <fb>45954</fb>
    <v>0</v>
  </rv>
  <rv s="0">
    <fb>433.72</fb>
    <v>1</v>
  </rv>
  <rv s="0">
    <fb>617.1</fb>
    <v>1</v>
  </rv>
  <rv s="0">
    <fb>45957</fb>
    <v>0</v>
  </rv>
  <rv s="0">
    <fb>452.42</fb>
    <v>1</v>
  </rv>
  <rv s="0">
    <fb>628.09</fb>
    <v>1</v>
  </rv>
  <rv s="0">
    <fb>45958</fb>
    <v>0</v>
  </rv>
  <rv s="0">
    <fb>460.55</fb>
    <v>1</v>
  </rv>
  <rv s="0">
    <fb>632.91999999999996</fb>
    <v>1</v>
  </rv>
  <rv s="0">
    <fb>45959</fb>
    <v>0</v>
  </rv>
  <rv s="0">
    <fb>461.51</fb>
    <v>1</v>
  </rv>
  <rv s="0">
    <fb>635.77</fb>
    <v>1</v>
  </rv>
  <rv s="0">
    <fb>45960</fb>
    <v>0</v>
  </rv>
  <rv s="0">
    <fb>440.1</fb>
    <v>1</v>
  </rv>
  <rv s="0">
    <fb>626.04999999999995</fb>
    <v>1</v>
  </rv>
  <rv s="0">
    <fb>45961</fb>
    <v>0</v>
  </rv>
  <rv s="0">
    <fb>456.56</fb>
    <v>1</v>
  </rv>
  <rv s="0">
    <fb>629.07000000000005</fb>
    <v>1</v>
  </rv>
  <rv s="0">
    <fb>45964</fb>
    <v>0</v>
  </rv>
  <rv s="0">
    <fb>468.37</fb>
    <v>1</v>
  </rv>
  <rv s="0">
    <fb>632.08000000000004</fb>
    <v>1</v>
  </rv>
  <rv s="0">
    <fb>45965</fb>
    <v>0</v>
  </rv>
  <rv s="0">
    <fb>444.26</fb>
    <v>1</v>
  </rv>
  <rv s="0">
    <fb>619.25</fb>
    <v>1</v>
  </rv>
  <rv s="0">
    <fb>45966</fb>
    <v>0</v>
  </rv>
  <rv s="0">
    <fb>462.07</fb>
    <v>1</v>
  </rv>
  <rv s="0">
    <fb>623.28</fb>
    <v>1</v>
  </rv>
  <rv s="0">
    <fb>45967</fb>
    <v>0</v>
  </rv>
  <rv s="0">
    <fb>445.91</fb>
    <v>1</v>
  </rv>
  <rv s="0">
    <fb>611.66999999999996</fb>
    <v>1</v>
  </rv>
  <rv s="0">
    <fb>45968</fb>
    <v>0</v>
  </rv>
  <rv s="0">
    <fb>429.52</fb>
    <v>1</v>
  </rv>
  <rv s="0">
    <fb>609.74</fb>
    <v>1</v>
  </rv>
  <rv s="0">
    <fb>45971</fb>
    <v>0</v>
  </rv>
  <rv s="0">
    <fb>445.23</fb>
    <v>1</v>
  </rv>
  <rv s="0">
    <fb>623.23</fb>
    <v>1</v>
  </rv>
  <rv s="0">
    <fb>45972</fb>
    <v>0</v>
  </rv>
  <rv s="0">
    <fb>439.62</fb>
    <v>1</v>
  </rv>
  <rv s="0">
    <fb>621.57000000000005</fb>
    <v>1</v>
  </rv>
  <rv s="0">
    <fb>45973</fb>
    <v>0</v>
  </rv>
  <rv s="0">
    <fb>430.6</fb>
    <v>1</v>
  </rv>
  <rv s="0">
    <fb>621.08000000000004</fb>
    <v>1</v>
  </rv>
  <rv s="0">
    <fb>45974</fb>
    <v>0</v>
  </rv>
  <rv s="0">
    <fb>401.99</fb>
    <v>1</v>
  </rv>
  <rv s="0">
    <fb>608.4</fb>
    <v>1</v>
  </rv>
  <rv s="0">
    <fb>45975</fb>
    <v>0</v>
  </rv>
  <rv s="0">
    <fb>404.35</fb>
    <v>1</v>
  </rv>
  <rv s="0">
    <fb>608.86</fb>
    <v>1</v>
  </rv>
  <rv s="0">
    <fb>45978</fb>
    <v>0</v>
  </rv>
  <rv s="0">
    <fb>408.92</fb>
    <v>1</v>
  </rv>
  <rv s="0">
    <fb>603.66</fb>
    <v>1</v>
  </rv>
  <rv s="0">
    <fb>45979</fb>
    <v>0</v>
  </rv>
  <rv s="0">
    <fb>401.25</fb>
    <v>1</v>
  </rv>
  <rv s="0">
    <fb>596.30999999999995</fb>
    <v>1</v>
  </rv>
  <rv s="0">
    <fb>45980</fb>
    <v>0</v>
  </rv>
  <rv s="0">
    <fb>403.99</fb>
    <v>1</v>
  </rv>
  <rv s="0">
    <fb>599.87</fb>
    <v>1</v>
  </rv>
  <rv s="0">
    <fb>45981</fb>
    <v>0</v>
  </rv>
  <rv s="0">
    <fb>395.23</fb>
    <v>1</v>
  </rv>
  <rv s="0">
    <fb>585.66999999999996</fb>
    <v>1</v>
  </rv>
  <rv s="0">
    <fb>45982</fb>
    <v>0</v>
  </rv>
  <rv s="0">
    <fb>391.09</fb>
    <v>1</v>
  </rv>
  <rv s="0">
    <fb>590.07000000000005</fb>
    <v>1</v>
  </rv>
  <rv s="0">
    <fb>45985</fb>
    <v>0</v>
  </rv>
  <rv s="0">
    <fb>417.78</fb>
    <v>1</v>
  </rv>
  <rv s="0">
    <fb>605.16</fb>
    <v>1</v>
  </rv>
  <rv s="0">
    <fb>45986</fb>
    <v>0</v>
  </rv>
  <rv s="0">
    <fb>419.4</fb>
    <v>1</v>
  </rv>
  <rv s="0">
    <fb>608.89</fb>
    <v>1</v>
  </rv>
  <rv s="0">
    <fb>45987</fb>
    <v>0</v>
  </rv>
  <rv s="0">
    <fb>426.58</fb>
    <v>1</v>
  </rv>
  <rv s="0">
    <fb>614.27</fb>
    <v>1</v>
  </rv>
  <rv s="0">
    <fb>45989</fb>
    <v>0</v>
  </rv>
  <rv s="0">
    <fb>430.17</fb>
    <v>1</v>
  </rv>
  <rv s="0">
    <fb>45992</fb>
    <v>0</v>
  </rv>
  <rv s="0">
    <fb>430.14</fb>
    <v>1</v>
  </rv>
  <rv s="0">
    <fb>617.16999999999996</fb>
    <v>1</v>
  </rv>
  <rv s="0">
    <fb>45993</fb>
    <v>0</v>
  </rv>
  <rv s="0">
    <fb>622</fb>
    <v>1</v>
  </rv>
  <rv s="0">
    <fb>45994</fb>
    <v>0</v>
  </rv>
  <rv s="0">
    <fb>446.74</fb>
    <v>1</v>
  </rv>
  <rv s="0">
    <fb>623.52</fb>
    <v>1</v>
  </rv>
  <rv s="0">
    <fb>45995</fb>
    <v>0</v>
  </rv>
  <rv s="0">
    <fb>454.53</fb>
    <v>1</v>
  </rv>
  <rv s="0">
    <fb>622.94000000000005</fb>
    <v>1</v>
  </rv>
  <rv s="0">
    <fb>45996</fb>
    <v>0</v>
  </rv>
  <rv s="0">
    <fb>455</fb>
    <v>1</v>
  </rv>
  <rv s="0">
    <fb>625.48</fb>
    <v>1</v>
  </rv>
  <rv s="0">
    <fb>45999</fb>
    <v>0</v>
  </rv>
  <rv s="0">
    <fb>439.58</fb>
    <v>1</v>
  </rv>
  <rv s="0">
    <fb>624.28</fb>
    <v>1</v>
  </rv>
  <rv s="0">
    <fb>46000</fb>
    <v>0</v>
  </rv>
  <rv s="0">
    <fb>445.17</fb>
    <v>1</v>
  </rv>
  <rv s="0">
    <fb>625.04999999999995</fb>
    <v>1</v>
  </rv>
  <rv s="0">
    <fb>46001</fb>
    <v>0</v>
  </rv>
  <rv s="0">
    <fb>451.45</fb>
    <v>1</v>
  </rv>
  <rv s="0">
    <fb>627.61</fb>
    <v>1</v>
  </rv>
  <rv s="0">
    <fb>46002</fb>
    <v>0</v>
  </rv>
  <rv s="0">
    <fb>446.89</fb>
    <v>1</v>
  </rv>
  <rv s="0">
    <fb>625.58000000000004</fb>
    <v>1</v>
  </rv>
  <rv s="0">
    <fb>46003</fb>
    <v>0</v>
  </rv>
  <rv s="0">
    <fb>458.96</fb>
    <v>1</v>
  </rv>
  <rv s="0">
    <fb>613.62</fb>
    <v>1</v>
  </rv>
  <rv s="0">
    <fb>46006</fb>
    <v>0</v>
  </rv>
  <rv s="0">
    <fb>475.31</fb>
    <v>1</v>
  </rv>
  <rv s="0">
    <fb>610.54</fb>
    <v>1</v>
  </rv>
  <rv s="0">
    <fb>46007</fb>
    <v>0</v>
  </rv>
  <rv s="0">
    <fb>489.88</fb>
    <v>1</v>
  </rv>
  <rv s="0">
    <fb>611.75</fb>
    <v>1</v>
  </rv>
  <rv s="0">
    <fb>46008</fb>
    <v>0</v>
  </rv>
  <rv s="0">
    <fb>467.26</fb>
    <v>1</v>
  </rv>
  <rv s="0">
    <fb>600.41</fb>
    <v>1</v>
  </rv>
  <rv s="0">
    <fb>46009</fb>
    <v>0</v>
  </rv>
  <rv s="0">
    <fb>483.37</fb>
    <v>1</v>
  </rv>
  <rv s="0">
    <fb>609.11</fb>
    <v>1</v>
  </rv>
  <rv s="0">
    <fb>46010</fb>
    <v>0</v>
  </rv>
  <rv s="0">
    <fb>481.2</fb>
    <v>1</v>
  </rv>
  <rv s="0">
    <fb>617.04999999999995</fb>
    <v>1</v>
  </rv>
  <rv s="0">
    <fb>46013</fb>
    <v>0</v>
  </rv>
  <rv s="0">
    <fb>488.73</fb>
    <v>1</v>
  </rv>
  <rv s="0">
    <fb>619.21</fb>
    <v>1</v>
  </rv>
  <rv s="0">
    <fb>46014</fb>
    <v>0</v>
  </rv>
  <rv s="0">
    <fb>485.56</fb>
    <v>1</v>
  </rv>
  <rv s="0">
    <fb>622.11</fb>
    <v>1</v>
  </rv>
  <rv s="0">
    <fb>46015</fb>
    <v>0</v>
  </rv>
  <rv s="0">
    <fb>485.4</fb>
    <v>1</v>
  </rv>
  <rv s="0">
    <fb>623.92999999999995</fb>
    <v>1</v>
  </rv>
  <rv s="0">
    <fb>46017</fb>
    <v>0</v>
  </rv>
  <rv s="0">
    <fb>475.19</fb>
    <v>1</v>
  </rv>
  <rv s="0">
    <fb>623.89</fb>
    <v>1</v>
  </rv>
  <rv s="0">
    <fb>46020</fb>
    <v>0</v>
  </rv>
  <rv s="0">
    <fb>459.64</fb>
    <v>1</v>
  </rv>
  <rv s="0">
    <fb>620.87</fb>
    <v>1</v>
  </rv>
  <rv s="0">
    <fb>46021</fb>
    <v>0</v>
  </rv>
  <rv s="0">
    <fb>454.43</fb>
    <v>1</v>
  </rv>
  <rv s="0">
    <fb>619.42999999999995</fb>
    <v>1</v>
  </rv>
  <rv s="0">
    <fb>46022</fb>
    <v>0</v>
  </rv>
  <rv s="0">
    <fb>449.72</fb>
    <v>1</v>
  </rv>
  <rv s="0">
    <fb>614.30999999999995</fb>
    <v>1</v>
  </rv>
  <rv s="0">
    <fb>46024</fb>
    <v>0</v>
  </rv>
  <rv s="0">
    <fb>438.07</fb>
    <v>1</v>
  </rv>
  <rv s="0">
    <fb>613.12</fb>
    <v>1</v>
  </rv>
  <rv s="0">
    <fb>46027</fb>
    <v>0</v>
  </rv>
  <rv s="0">
    <fb>451.67</fb>
    <v>1</v>
  </rv>
  <rv s="0">
    <fb>617.99</fb>
    <v>1</v>
  </rv>
  <rv s="0">
    <fb>46028</fb>
    <v>0</v>
  </rv>
  <rv s="0">
    <fb>432.96</fb>
    <v>1</v>
  </rv>
  <rv s="0">
    <fb>623.41999999999996</fb>
    <v>1</v>
  </rv>
  <rv s="0">
    <fb>46029</fb>
    <v>0</v>
  </rv>
  <rv s="0">
    <fb>431.41</fb>
    <v>1</v>
  </rv>
  <rv s="0">
    <fb>624.02</fb>
    <v>1</v>
  </rv>
  <rv s="0">
    <fb>46030</fb>
    <v>0</v>
  </rv>
  <rv s="0">
    <fb>435.8</fb>
    <v>1</v>
  </rv>
  <rv s="0">
    <fb>620.47</fb>
    <v>1</v>
  </rv>
  <rv s="0">
    <fb>46031</fb>
    <v>0</v>
  </rv>
  <rv s="0">
    <fb>445.01</fb>
    <v>1</v>
  </rv>
  <rv s="0">
    <fb>626.65</fb>
    <v>1</v>
  </rv>
  <rv s="0">
    <fb>46034</fb>
    <v>0</v>
  </rv>
  <rv s="0">
    <fb>448.96</fb>
    <v>1</v>
  </rv>
  <rv s="0">
    <fb>627.16999999999996</fb>
    <v>1</v>
  </rv>
  <rv s="0">
    <fb>46035</fb>
    <v>0</v>
  </rv>
  <rv s="0">
    <fb>447.2</fb>
    <v>1</v>
  </rv>
  <rv s="0">
    <fb>626.24</fb>
    <v>1</v>
  </rv>
  <rv s="0">
    <fb>46036</fb>
    <v>0</v>
  </rv>
  <rv s="0">
    <fb>439.2</fb>
    <v>1</v>
  </rv>
  <rv s="0">
    <fb>619.54999999999995</fb>
    <v>1</v>
  </rv>
  <rv s="0">
    <fb>46037</fb>
    <v>0</v>
  </rv>
  <rv s="0">
    <fb>438.57</fb>
    <v>1</v>
  </rv>
  <rv s="0">
    <fb>621.78</fb>
    <v>1</v>
  </rv>
  <rv s="0">
    <fb>46038</fb>
    <v>0</v>
  </rv>
  <rv s="0">
    <fb>437.5</fb>
    <v>1</v>
  </rv>
  <rv s="0">
    <fb>621.26</fb>
    <v>1</v>
  </rv>
  <rv s="0">
    <fb>46042</fb>
    <v>0</v>
  </rv>
  <rv s="0">
    <fb>419.25</fb>
    <v>1</v>
  </rv>
  <rv s="0">
    <fb>608.05999999999995</fb>
    <v>1</v>
  </rv>
  <rv s="0">
    <fb>46043</fb>
    <v>0</v>
  </rv>
  <rv s="0">
    <fb>431.44</fb>
    <v>1</v>
  </rv>
  <rv s="0">
    <fb>616.28</fb>
    <v>1</v>
  </rv>
  <rv s="0">
    <fb>46044</fb>
    <v>0</v>
  </rv>
  <rv s="0">
    <fb>449.36</fb>
    <v>1</v>
  </rv>
  <rv s="0">
    <fb>620.76</fb>
    <v>1</v>
  </rv>
  <rv s="0">
    <fb>46045</fb>
    <v>0</v>
  </rv>
  <rv s="0">
    <fb>449.06</fb>
    <v>1</v>
  </rv>
  <rv s="0">
    <fb>622.72</fb>
    <v>1</v>
  </rv>
  <rv s="0">
    <fb>46048</fb>
    <v>0</v>
  </rv>
  <rv s="0">
    <fb>435.2</fb>
    <v>1</v>
  </rv>
  <rv s="0">
    <fb>625.46</fb>
    <v>1</v>
  </rv>
  <rv s="0">
    <fb>46049</fb>
    <v>0</v>
  </rv>
  <rv s="0">
    <fb>430.9</fb>
    <v>1</v>
  </rv>
  <rv s="0">
    <fb>631.13</fb>
    <v>1</v>
  </rv>
  <rv s="0">
    <fb>46050</fb>
    <v>0</v>
  </rv>
  <rv s="0">
    <fb>431.46</fb>
    <v>1</v>
  </rv>
  <rv s="0">
    <fb>633.22</fb>
    <v>1</v>
  </rv>
  <rv s="0">
    <fb>46051</fb>
    <v>0</v>
  </rv>
  <rv s="0">
    <fb>416.56</fb>
    <v>1</v>
  </rv>
  <rv s="0">
    <fb>629.42999999999995</fb>
    <v>1</v>
  </rv>
  <rv s="0">
    <fb>46052</fb>
    <v>0</v>
  </rv>
  <rv s="0">
    <fb>430.41</fb>
    <v>1</v>
  </rv>
  <rv s="0">
    <fb>621.87</fb>
    <v>1</v>
  </rv>
  <rv s="0">
    <fb>46055</fb>
    <v>0</v>
  </rv>
  <rv s="0">
    <fb>421.81</fb>
    <v>1</v>
  </rv>
  <rv s="0">
    <fb>626.14</fb>
    <v>1</v>
  </rv>
  <rv s="0">
    <fb>46056</fb>
    <v>0</v>
  </rv>
  <rv s="0">
    <fb>421.96</fb>
    <v>1</v>
  </rv>
  <rv s="0">
    <fb>616.52</fb>
    <v>1</v>
  </rv>
  <rv s="0">
    <fb>46057</fb>
    <v>0</v>
  </rv>
  <rv s="0">
    <fb>406.01</fb>
    <v>1</v>
  </rv>
  <rv s="0">
    <fb>605.75</fb>
    <v>1</v>
  </rv>
  <rv s="0">
    <fb>46058</fb>
    <v>0</v>
  </rv>
  <rv s="0">
    <fb>397.21</fb>
    <v>1</v>
  </rv>
  <rv s="0">
    <fb>597.03</fb>
    <v>1</v>
  </rv>
  <rv s="0">
    <fb>46059</fb>
    <v>0</v>
  </rv>
  <rv s="0">
    <fb>411.11</fb>
    <v>1</v>
  </rv>
  <rv s="0">
    <fb>609.65</fb>
    <v>1</v>
  </rv>
  <rv s="0">
    <fb>46062</fb>
    <v>0</v>
  </rv>
  <rv s="0">
    <fb>417.32</fb>
    <v>1</v>
  </rv>
  <rv s="0">
    <fb>614.32000000000005</fb>
    <v>1</v>
  </rv>
  <rv s="0">
    <fb>46063</fb>
    <v>0</v>
  </rv>
  <rv s="0">
    <fb>425.21</fb>
    <v>1</v>
  </rv>
  <rv s="0">
    <fb>611.47</fb>
    <v>1</v>
  </rv>
  <rv s="0">
    <fb>46064</fb>
    <v>0</v>
  </rv>
  <rv s="0">
    <fb>428.27</fb>
    <v>1</v>
  </rv>
  <rv s="0">
    <fb>613.11</fb>
    <v>1</v>
  </rv>
  <rv s="0">
    <fb>46065</fb>
    <v>0</v>
  </rv>
  <rv s="0">
    <fb>417.07</fb>
    <v>1</v>
  </rv>
  <rv s="0">
    <fb>600.64</fb>
    <v>1</v>
  </rv>
  <rv s="0">
    <fb>46066</fb>
    <v>0</v>
  </rv>
  <rv s="0">
    <fb>417.44</fb>
    <v>1</v>
  </rv>
  <rv s="0">
    <fb>601.91999999999996</fb>
    <v>1</v>
  </rv>
  <rv s="0">
    <fb>46070</fb>
    <v>0</v>
  </rv>
  <rv s="0">
    <fb>410.63</fb>
    <v>1</v>
  </rv>
  <rv s="0">
    <fb>601.29999999999995</fb>
    <v>1</v>
  </rv>
  <rv s="0">
    <fb>46071</fb>
    <v>0</v>
  </rv>
  <rv s="0">
    <fb>411.32</fb>
    <v>1</v>
  </rv>
  <rv s="0">
    <fb>605.79</fb>
    <v>1</v>
  </rv>
  <rv s="0">
    <fb>46072</fb>
    <v>0</v>
  </rv>
  <rv s="0">
    <fb>411.71</fb>
    <v>1</v>
  </rv>
  <rv s="0">
    <fb>603.47</fb>
    <v>1</v>
  </rv>
  <rv s="0">
    <fb>46073</fb>
    <v>0</v>
  </rv>
  <rv s="0">
    <fb>411.82</fb>
    <v>1</v>
  </rv>
  <rv s="0">
    <fb>608.80999999999995</fb>
    <v>1</v>
  </rv>
  <rv s="0">
    <fb>46076</fb>
    <v>0</v>
  </rv>
  <rv s="0">
    <fb>399.83</fb>
    <v>1</v>
  </rv>
  <rv s="0">
    <fb>601.41</fb>
    <v>1</v>
  </rv>
  <rv s="0">
    <fb>46077</fb>
    <v>0</v>
  </rv>
  <rv s="0">
    <fb>409.38</fb>
    <v>1</v>
  </rv>
  <rv s="0">
    <fb>607.87</fb>
    <v>1</v>
  </rv>
  <rv s="0">
    <fb>46078</fb>
    <v>0</v>
  </rv>
  <rv s="0">
    <fb>417.4</fb>
    <v>1</v>
  </rv>
  <rv s="0">
    <fb>616.67999999999995</fb>
    <v>1</v>
  </rv>
  <rv s="0">
    <fb>46079</fb>
    <v>0</v>
  </rv>
  <rv s="0">
    <fb>408.58</fb>
    <v>1</v>
  </rv>
  <rv s="0">
    <fb>609.24</fb>
    <v>1</v>
  </rv>
  <rv s="0">
    <fb>46080</fb>
    <v>0</v>
  </rv>
  <rv s="0">
    <fb>402.51</fb>
    <v>1</v>
  </rv>
  <rv s="0">
    <fb>607.29</fb>
    <v>1</v>
  </rv>
  <rv s="0">
    <fb>46083</fb>
    <v>0</v>
  </rv>
  <rv s="0">
    <fb>403.32</fb>
    <v>1</v>
  </rv>
  <rv s="0">
    <fb>608.09</fb>
    <v>1</v>
  </rv>
  <rv s="0">
    <fb>46084</fb>
    <v>0</v>
  </rv>
  <rv s="0">
    <fb>392.43</fb>
    <v>1</v>
  </rv>
  <rv s="0">
    <fb>601.58000000000004</fb>
    <v>1</v>
  </rv>
  <rv s="0">
    <fb>46085</fb>
    <v>0</v>
  </rv>
  <rv s="0">
    <fb>405.94</fb>
    <v>1</v>
  </rv>
  <rv s="0">
    <fb>610.75</fb>
    <v>1</v>
  </rv>
  <rv s="0">
    <fb>46086</fb>
    <v>0</v>
  </rv>
  <rv s="0">
    <fb>405.55</fb>
    <v>1</v>
  </rv>
  <rv s="0">
    <fb>608.91</fb>
    <v>1</v>
  </rv>
  <rv s="0">
    <fb>46087</fb>
    <v>0</v>
  </rv>
  <rv s="0">
    <fb>396.73</fb>
    <v>1</v>
  </rv>
  <rv s="0">
    <fb>599.75</fb>
    <v>1</v>
  </rv>
  <rv s="0">
    <fb>46090</fb>
    <v>0</v>
  </rv>
  <rv s="0">
    <fb>398.68</fb>
    <v>1</v>
  </rv>
  <rv s="0">
    <fb>607.76</fb>
    <v>1</v>
  </rv>
  <rv s="0">
    <fb>46091</fb>
    <v>0</v>
  </rv>
  <rv s="0">
    <fb>399.23500000000001</fb>
    <v>1</v>
  </rv>
  <rv s="0">
    <fb>607.77</fb>
    <v>1</v>
  </rv>
  <rv s="0">
    <fb>46092</fb>
    <v>0</v>
  </rv>
  <rv s="0">
    <fb>407.82</fb>
    <v>1</v>
  </rv>
  <rv s="0">
    <fb>607.69000000000005</fb>
    <v>1</v>
  </rv>
  <rv s="0">
    <fb>46093</fb>
    <v>0</v>
  </rv>
  <rv s="0">
    <fb>395.01</fb>
    <v>1</v>
  </rv>
  <rv s="0">
    <fb>597.26</fb>
    <v>1</v>
  </rv>
  <rv s="0">
    <fb>46094</fb>
    <v>0</v>
  </rv>
  <rv s="0">
    <fb>391.2</fb>
    <v>1</v>
  </rv>
  <rv s="0">
    <fb>593.72</fb>
    <v>1</v>
  </rv>
  <rv s="0">
    <fb>46097</fb>
    <v>0</v>
  </rv>
  <rv s="0">
    <fb>395.56</fb>
    <v>1</v>
  </rv>
  <rv s="0">
    <fb>600.38</fb>
    <v>1</v>
  </rv>
  <rv s="0">
    <fb>46098</fb>
    <v>0</v>
  </rv>
  <rv s="0">
    <fb>399.27</fb>
    <v>1</v>
  </rv>
  <rv s="0">
    <fb>603.30999999999995</fb>
    <v>1</v>
  </rv>
  <rv s="0">
    <fb>46099</fb>
    <v>0</v>
  </rv>
  <rv s="0">
    <fb>392.78</fb>
    <v>1</v>
  </rv>
  <rv s="0">
    <fb>594.9</fb>
    <v>1</v>
  </rv>
  <rv s="0">
    <fb>46100</fb>
    <v>0</v>
  </rv>
  <rv s="0">
    <fb>380.3</fb>
    <v>1</v>
  </rv>
  <rv s="0">
    <fb>593.02</fb>
    <v>1</v>
  </rv>
  <rv s="0">
    <fb>46101</fb>
    <v>0</v>
  </rv>
  <rv s="0">
    <fb>367.96</fb>
    <v>1</v>
  </rv>
  <rv s="0">
    <fb>582.05999999999995</fb>
    <v>1</v>
  </rv>
  <rv s="0">
    <fb>46104</fb>
    <v>0</v>
  </rv>
  <rv s="0">
    <fb>380.85</fb>
    <v>1</v>
  </rv>
  <rv s="0">
    <fb>588</fb>
    <v>1</v>
  </rv>
  <rv s="0">
    <fb>46105</fb>
    <v>0</v>
  </rv>
  <rv s="0">
    <fb>383.03</fb>
    <v>1</v>
  </rv>
  <rv s="0">
    <fb>583.98</fb>
    <v>1</v>
  </rv>
  <rv s="0">
    <fb>46106</fb>
    <v>0</v>
  </rv>
  <rv s="0">
    <fb>385.95</fb>
    <v>1</v>
  </rv>
  <rv s="0">
    <fb>587.82000000000005</fb>
    <v>1</v>
  </rv>
  <rv s="0">
    <fb>46107</fb>
    <v>0</v>
  </rv>
  <rv s="0">
    <fb>372.11</fb>
    <v>1</v>
  </rv>
  <rv s="0">
    <fb>573.79</fb>
    <v>1</v>
  </rv>
  <rv s="0">
    <fb>46108</fb>
    <v>0</v>
  </rv>
  <rv s="0">
    <fb>361.83</fb>
    <v>1</v>
  </rv>
  <rv s="0">
    <fb>562.58000000000004</fb>
    <v>1</v>
  </rv>
  <rv s="0">
    <fb>46111</fb>
    <v>0</v>
  </rv>
  <rv s="0">
    <fb>355.28</fb>
    <v>1</v>
  </rv>
  <rv s="0">
    <fb>558.28</fb>
    <v>1</v>
  </rv>
  <rv s="0">
    <fb>46112</fb>
    <v>0</v>
  </rv>
  <rv s="0">
    <fb>371.75</fb>
    <v>1</v>
  </rv>
  <rv s="0">
    <fb>577.17999999999995</fb>
    <v>1</v>
  </rv>
  <rv s="0">
    <fb>46113</fb>
    <v>0</v>
  </rv>
  <rv s="0">
    <fb>381.26</fb>
    <v>1</v>
  </rv>
  <rv s="0">
    <fb>584.30999999999995</fb>
    <v>1</v>
  </rv>
  <rv s="0">
    <fb>46114</fb>
    <v>0</v>
  </rv>
  <rv s="0">
    <fb>360.59</fb>
    <v>1</v>
  </rv>
  <rv s="0">
    <fb>584.98</fb>
    <v>1</v>
  </rv>
  <rv s="0">
    <fb>46118</fb>
    <v>0</v>
  </rv>
  <rv s="0">
    <fb>352.82</fb>
    <v>1</v>
  </rv>
  <rv s="0">
    <fb>588.5</fb>
    <v>1</v>
  </rv>
  <rv s="0">
    <fb>46119</fb>
    <v>0</v>
  </rv>
  <rv s="0">
    <fb>346.65</fb>
    <v>1</v>
  </rv>
  <rv s="0">
    <fb>588.59</fb>
    <v>1</v>
  </rv>
  <rv s="0">
    <fb>46120</fb>
    <v>0</v>
  </rv>
  <rv s="0">
    <fb>343.25</fb>
    <v>1</v>
  </rv>
  <rv s="0">
    <fb>606.09</fb>
    <v>1</v>
  </rv>
  <rv s="0">
    <fb>46121</fb>
    <v>0</v>
  </rv>
  <rv s="0">
    <fb>345.62</fb>
    <v>1</v>
  </rv>
  <rv s="0">
    <fb>610.19000000000005</fb>
    <v>1</v>
  </rv>
  <rv s="0">
    <fb>46122</fb>
    <v>0</v>
  </rv>
  <rv s="0">
    <fb>348.95</fb>
    <v>1</v>
  </rv>
  <rv s="0">
    <fb>611.07000000000005</fb>
    <v>1</v>
  </rv>
  <rv s="0">
    <fb>46125</fb>
    <v>0</v>
  </rv>
  <rv s="0">
    <fb>352.42</fb>
    <v>1</v>
  </rv>
  <rv s="0">
    <fb>617.39</fb>
    <v>1</v>
  </rv>
  <rv s="0">
    <fb>46126</fb>
    <v>0</v>
  </rv>
  <rv s="0">
    <fb>364.2</fb>
    <v>1</v>
  </rv>
  <rv s="0">
    <fb>628.6</fb>
    <v>1</v>
  </rv>
  <rv s="0">
    <fb>46127</fb>
    <v>0</v>
  </rv>
  <rv s="0">
    <fb>391.95</fb>
    <v>1</v>
  </rv>
  <rv s="0">
    <fb>637.4</fb>
    <v>1</v>
  </rv>
  <rv s="0">
    <fb>46128</fb>
    <v>0</v>
  </rv>
  <rv s="0">
    <fb>388.9</fb>
    <v>1</v>
  </rv>
  <rv s="0">
    <fb>640.47</fb>
    <v>1</v>
  </rv>
  <rv s="0">
    <fb>46129</fb>
    <v>0</v>
  </rv>
  <rv s="0">
    <fb>400.62</fb>
    <v>1</v>
  </rv>
  <rv s="0">
    <fb>648.85</fb>
    <v>1</v>
  </rv>
  <rv s="0">
    <fb>46132</fb>
    <v>0</v>
  </rv>
  <rv s="0">
    <fb>392.5</fb>
    <v>1</v>
  </rv>
  <rv s="0">
    <fb>646.79</fb>
    <v>1</v>
  </rv>
  <rv s="0">
    <fb>46133</fb>
    <v>0</v>
  </rv>
  <rv s="0">
    <fb>386.42</fb>
    <v>1</v>
  </rv>
  <rv s="0">
    <fb>644.33000000000004</fb>
    <v>1</v>
  </rv>
  <rv s="0">
    <fb>46134</fb>
    <v>0</v>
  </rv>
  <rv s="0">
    <fb>387.51</fb>
    <v>1</v>
  </rv>
  <rv s="0">
    <fb>655.11</fb>
    <v>1</v>
  </rv>
  <rv s="0">
    <fb>46135</fb>
    <v>0</v>
  </rv>
  <rv s="0">
    <fb>373.72</fb>
    <v>1</v>
  </rv>
  <rv s="0">
    <fb>651.41999999999996</fb>
    <v>1</v>
  </rv>
  <rv s="0">
    <fb>46136</fb>
    <v>0</v>
  </rv>
  <rv s="0">
    <fb>376.3</fb>
    <v>1</v>
  </rv>
  <rv s="0">
    <fb>663.88</fb>
    <v>1</v>
  </rv>
  <rv s="0">
    <fb>46139</fb>
    <v>0</v>
  </rv>
  <rv s="0">
    <fb>378.67</fb>
    <v>1</v>
  </rv>
  <rv s="0">
    <fb>664.23</fb>
    <v>1</v>
  </rv>
  <rv s="0">
    <fb>46140</fb>
    <v>0</v>
  </rv>
  <rv s="0">
    <fb>376.02</fb>
    <v>1</v>
  </rv>
  <rv s="0">
    <fb>657.55</fb>
    <v>1</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2">
    <spb s="0">
      <v>1</v>
    </spb>
    <spb s="0">
      <v>2</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
    </x:dxf>
    <x:dxf>
      <x:numFmt numFmtId="0" formatCode="General"/>
    </x:dxf>
  </dxfs>
  <richProperties>
    <rPr n="NumberFormat" t="s"/>
  </richProperties>
  <richStyles>
    <rSty dxfid="0"/>
    <rSty dxfid="1">
      <rpv i="0">_([$$-en-US]* #,##0.00_);_([$$-en-US]* (#,##0.00);_([$$-en-US]* "-"??_);_(@_)</rpv>
    </rSty>
  </richStyles>
</richStyleSheet>
</file>

<file path=xl/theme/theme1.xml><?xml version="1.0" encoding="utf-8"?>
<a:theme xmlns:a="http://schemas.openxmlformats.org/drawingml/2006/main" name="Office 2013 - 2022 Theme">
  <a:themeElements>
    <a:clrScheme name="Custom 4">
      <a:dk1>
        <a:srgbClr val="000000"/>
      </a:dk1>
      <a:lt1>
        <a:srgbClr val="FFFFFF"/>
      </a:lt1>
      <a:dk2>
        <a:srgbClr val="FFEB9C"/>
      </a:dk2>
      <a:lt2>
        <a:srgbClr val="9C6500"/>
      </a:lt2>
      <a:accent1>
        <a:srgbClr val="FFC7CE"/>
      </a:accent1>
      <a:accent2>
        <a:srgbClr val="9C0006"/>
      </a:accent2>
      <a:accent3>
        <a:srgbClr val="C6EFCE"/>
      </a:accent3>
      <a:accent4>
        <a:srgbClr val="0D6711"/>
      </a:accent4>
      <a:accent5>
        <a:srgbClr val="4285F4"/>
      </a:accent5>
      <a:accent6>
        <a:srgbClr val="FBBC04"/>
      </a:accent6>
      <a:hlink>
        <a:srgbClr val="EA4335"/>
      </a:hlink>
      <a:folHlink>
        <a:srgbClr val="7030A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3" dT="2024-10-28T13:57:04.67" personId="{43BDDE95-9D39-6444-A72E-76AC080F74B3}" id="{C6AC1506-F35E-934D-81DB-7B6B1EFC1E8C}">
    <text>For this model, we decide to pick Research Forecasts for our Revenue Assumptions. You can still pick your preferred one in Task 1 and provide your justification!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J33" dT="2024-10-28T13:57:04.67" personId="{43BDDE95-9D39-6444-A72E-76AC080F74B3}" id="{4DCC84F4-F640-4FC3-8F25-36285F28E672}">
    <text>For this model, we decide to pick Research Forecasts for our Revenue Assumptions. You can still pick your preferred one in Task 1 and provide your justification!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1"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90BE2D8-E122-4336-B767-E51092063BFE}">
  <we:reference id="wa200009404" version="1.0.0.8" store="en-GB" storeType="OMEX"/>
  <we:alternateReferences>
    <we:reference id="WA200009404" version="1.0.0.8" store="" storeType="OMEX"/>
  </we:alternateReferences>
  <we:properties>
    <we:property name="claude.fileId" value="&quot;17b9d0b2-e96c-4879-8265-30f08032064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DB0E-BBE9-4CFE-B6E1-F1809739DF2A}">
  <sheetPr codeName="Sheet1"/>
  <dimension ref="B1:XX1000"/>
  <sheetViews>
    <sheetView zoomScale="80" zoomScaleNormal="80" workbookViewId="0"/>
  </sheetViews>
  <sheetFormatPr baseColWidth="10" defaultColWidth="12" defaultRowHeight="15" x14ac:dyDescent="0.2"/>
  <cols>
    <col min="1" max="1" width="4.33203125" style="120" customWidth="1"/>
    <col min="2" max="2" width="12" style="120"/>
    <col min="3" max="3" width="32.5" style="120" customWidth="1"/>
    <col min="4" max="4" width="12" style="120"/>
    <col min="5" max="5" width="63.5" style="120" customWidth="1"/>
    <col min="6" max="16384" width="12" style="120"/>
  </cols>
  <sheetData>
    <row r="1" spans="2:7" ht="16" thickBot="1" x14ac:dyDescent="0.25"/>
    <row r="2" spans="2:7" x14ac:dyDescent="0.2">
      <c r="B2" s="121"/>
      <c r="C2" s="122"/>
      <c r="D2" s="122"/>
      <c r="E2" s="122"/>
      <c r="F2" s="122"/>
      <c r="G2" s="123"/>
    </row>
    <row r="3" spans="2:7" x14ac:dyDescent="0.2">
      <c r="B3" s="124"/>
      <c r="G3" s="125"/>
    </row>
    <row r="4" spans="2:7" x14ac:dyDescent="0.2">
      <c r="B4" s="124"/>
      <c r="G4" s="125"/>
    </row>
    <row r="5" spans="2:7" x14ac:dyDescent="0.2">
      <c r="B5" s="124"/>
      <c r="G5" s="125"/>
    </row>
    <row r="6" spans="2:7" x14ac:dyDescent="0.2">
      <c r="B6" s="124"/>
      <c r="G6" s="125"/>
    </row>
    <row r="7" spans="2:7" x14ac:dyDescent="0.2">
      <c r="B7" s="124"/>
      <c r="C7" s="126" t="s">
        <v>89</v>
      </c>
      <c r="D7" s="127"/>
      <c r="G7" s="125"/>
    </row>
    <row r="8" spans="2:7" x14ac:dyDescent="0.2">
      <c r="B8" s="124"/>
      <c r="C8" s="128" t="s">
        <v>90</v>
      </c>
      <c r="D8" s="129" t="s">
        <v>91</v>
      </c>
      <c r="G8" s="125"/>
    </row>
    <row r="9" spans="2:7" x14ac:dyDescent="0.2">
      <c r="B9" s="124"/>
      <c r="C9" s="128" t="s">
        <v>92</v>
      </c>
      <c r="D9" s="130" t="s">
        <v>93</v>
      </c>
      <c r="G9" s="125"/>
    </row>
    <row r="10" spans="2:7" x14ac:dyDescent="0.2">
      <c r="B10" s="124"/>
      <c r="C10" s="128" t="s">
        <v>94</v>
      </c>
      <c r="D10" s="269"/>
      <c r="G10" s="125"/>
    </row>
    <row r="11" spans="2:7" x14ac:dyDescent="0.2">
      <c r="B11" s="124"/>
      <c r="C11" s="128" t="s">
        <v>95</v>
      </c>
      <c r="D11" s="384" t="s">
        <v>96</v>
      </c>
      <c r="G11" s="125"/>
    </row>
    <row r="12" spans="2:7" x14ac:dyDescent="0.2">
      <c r="B12" s="124"/>
      <c r="C12" s="131" t="s">
        <v>97</v>
      </c>
      <c r="D12" s="385" t="s">
        <v>96</v>
      </c>
      <c r="G12" s="125"/>
    </row>
    <row r="13" spans="2:7" x14ac:dyDescent="0.2">
      <c r="B13" s="124"/>
      <c r="G13" s="125"/>
    </row>
    <row r="14" spans="2:7" x14ac:dyDescent="0.2">
      <c r="B14" s="124"/>
      <c r="C14" s="132" t="s">
        <v>98</v>
      </c>
      <c r="G14" s="125"/>
    </row>
    <row r="15" spans="2:7" ht="14.5" customHeight="1" x14ac:dyDescent="0.2">
      <c r="B15" s="124"/>
      <c r="C15" s="409" t="s">
        <v>99</v>
      </c>
      <c r="D15" s="410"/>
      <c r="E15" s="410"/>
      <c r="F15" s="411"/>
      <c r="G15" s="125"/>
    </row>
    <row r="16" spans="2:7" x14ac:dyDescent="0.2">
      <c r="B16" s="124"/>
      <c r="C16" s="412"/>
      <c r="D16" s="413"/>
      <c r="E16" s="413"/>
      <c r="F16" s="414"/>
      <c r="G16" s="125"/>
    </row>
    <row r="17" spans="2:7" x14ac:dyDescent="0.2">
      <c r="B17" s="124"/>
      <c r="C17" s="412"/>
      <c r="D17" s="413"/>
      <c r="E17" s="413"/>
      <c r="F17" s="414"/>
      <c r="G17" s="125"/>
    </row>
    <row r="18" spans="2:7" x14ac:dyDescent="0.2">
      <c r="B18" s="124"/>
      <c r="C18" s="412"/>
      <c r="D18" s="413"/>
      <c r="E18" s="413"/>
      <c r="F18" s="414"/>
      <c r="G18" s="125"/>
    </row>
    <row r="19" spans="2:7" x14ac:dyDescent="0.2">
      <c r="B19" s="124"/>
      <c r="C19" s="412"/>
      <c r="D19" s="413"/>
      <c r="E19" s="413"/>
      <c r="F19" s="414"/>
      <c r="G19" s="125"/>
    </row>
    <row r="20" spans="2:7" x14ac:dyDescent="0.2">
      <c r="B20" s="124"/>
      <c r="C20" s="412"/>
      <c r="D20" s="413"/>
      <c r="E20" s="413"/>
      <c r="F20" s="414"/>
      <c r="G20" s="125"/>
    </row>
    <row r="21" spans="2:7" x14ac:dyDescent="0.2">
      <c r="B21" s="124"/>
      <c r="C21" s="412"/>
      <c r="D21" s="413"/>
      <c r="E21" s="413"/>
      <c r="F21" s="414"/>
      <c r="G21" s="125"/>
    </row>
    <row r="22" spans="2:7" x14ac:dyDescent="0.2">
      <c r="B22" s="124"/>
      <c r="C22" s="412"/>
      <c r="D22" s="413"/>
      <c r="E22" s="413"/>
      <c r="F22" s="414"/>
      <c r="G22" s="125"/>
    </row>
    <row r="23" spans="2:7" x14ac:dyDescent="0.2">
      <c r="B23" s="124"/>
      <c r="C23" s="412"/>
      <c r="D23" s="413"/>
      <c r="E23" s="413"/>
      <c r="F23" s="414"/>
      <c r="G23" s="125"/>
    </row>
    <row r="24" spans="2:7" x14ac:dyDescent="0.2">
      <c r="B24" s="124"/>
      <c r="C24" s="412"/>
      <c r="D24" s="413"/>
      <c r="E24" s="413"/>
      <c r="F24" s="414"/>
      <c r="G24" s="125"/>
    </row>
    <row r="25" spans="2:7" x14ac:dyDescent="0.2">
      <c r="B25" s="124"/>
      <c r="C25" s="415"/>
      <c r="D25" s="416"/>
      <c r="E25" s="416"/>
      <c r="F25" s="417"/>
      <c r="G25" s="125"/>
    </row>
    <row r="26" spans="2:7" x14ac:dyDescent="0.2">
      <c r="B26" s="124"/>
      <c r="C26" s="132"/>
      <c r="D26" s="418"/>
      <c r="E26" s="418"/>
      <c r="F26" s="418"/>
      <c r="G26" s="125"/>
    </row>
    <row r="27" spans="2:7" ht="16" thickBot="1" x14ac:dyDescent="0.25">
      <c r="B27" s="133"/>
      <c r="C27" s="134"/>
      <c r="D27" s="419"/>
      <c r="E27" s="419"/>
      <c r="F27" s="419"/>
      <c r="G27" s="135"/>
    </row>
    <row r="1000" spans="648:648" ht="16" x14ac:dyDescent="0.2">
      <c r="XX1000" s="217">
        <v>66258</v>
      </c>
    </row>
  </sheetData>
  <mergeCells count="2">
    <mergeCell ref="C15:F25"/>
    <mergeCell ref="D26:F27"/>
  </mergeCells>
  <conditionalFormatting sqref="D11">
    <cfRule type="cellIs" dxfId="6" priority="1" operator="equal">
      <formul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D9F8-E8EC-49AB-8BA6-F074B2648210}">
  <sheetPr codeName="Sheet2"/>
  <dimension ref="A2:XX999"/>
  <sheetViews>
    <sheetView tabSelected="1" zoomScale="90" zoomScaleNormal="90" workbookViewId="0">
      <selection activeCell="V33" sqref="V33"/>
    </sheetView>
  </sheetViews>
  <sheetFormatPr baseColWidth="10" defaultColWidth="9.1640625" defaultRowHeight="15" x14ac:dyDescent="0.2"/>
  <cols>
    <col min="1" max="4" width="9.1640625" style="173"/>
    <col min="5" max="5" width="23.83203125" style="173" customWidth="1"/>
    <col min="6" max="7" width="9.1640625" style="173"/>
    <col min="8" max="8" width="20.33203125" style="173" bestFit="1" customWidth="1"/>
    <col min="9" max="13" width="10.33203125" style="173" customWidth="1"/>
    <col min="14" max="15" width="9.1640625" style="173"/>
    <col min="16" max="16" width="13.83203125" style="173" customWidth="1"/>
    <col min="17" max="16384" width="9.1640625" style="173"/>
  </cols>
  <sheetData>
    <row r="2" spans="1:16" s="58" customFormat="1" ht="18" thickBot="1" x14ac:dyDescent="0.25">
      <c r="A2" s="174"/>
      <c r="C2" s="315" t="s">
        <v>101</v>
      </c>
      <c r="D2" s="316"/>
      <c r="E2" s="316"/>
      <c r="F2" s="317"/>
      <c r="G2" s="368"/>
      <c r="H2" s="368"/>
      <c r="I2" s="368"/>
      <c r="J2" s="368"/>
      <c r="K2" s="368"/>
      <c r="L2" s="368"/>
      <c r="M2" s="368"/>
      <c r="N2" s="368"/>
      <c r="O2" s="368"/>
      <c r="P2" s="368"/>
    </row>
    <row r="3" spans="1:16" s="58" customFormat="1" x14ac:dyDescent="0.2">
      <c r="A3" s="174"/>
      <c r="C3" s="138" t="s">
        <v>102</v>
      </c>
      <c r="D3" s="3"/>
      <c r="E3" s="3"/>
      <c r="F3" s="4"/>
    </row>
    <row r="4" spans="1:16" s="58" customFormat="1" x14ac:dyDescent="0.2">
      <c r="A4" s="174"/>
    </row>
    <row r="5" spans="1:16" s="370" customFormat="1" ht="18" thickBot="1" x14ac:dyDescent="0.25">
      <c r="A5" s="369" t="s">
        <v>0</v>
      </c>
      <c r="C5" s="314" t="s">
        <v>121</v>
      </c>
      <c r="D5" s="371"/>
      <c r="E5" s="371"/>
      <c r="F5" s="371"/>
    </row>
    <row r="6" spans="1:16" ht="16" thickBot="1" x14ac:dyDescent="0.25"/>
    <row r="7" spans="1:16" x14ac:dyDescent="0.2">
      <c r="C7" s="372" t="s">
        <v>124</v>
      </c>
      <c r="D7" s="373"/>
      <c r="E7" s="373"/>
      <c r="F7" s="198"/>
      <c r="G7" s="198"/>
      <c r="H7" s="198"/>
      <c r="I7" s="198"/>
      <c r="J7" s="198"/>
      <c r="K7" s="198"/>
      <c r="L7" s="198"/>
      <c r="M7" s="198"/>
      <c r="N7" s="198"/>
      <c r="O7" s="198"/>
      <c r="P7" s="199"/>
    </row>
    <row r="8" spans="1:16" x14ac:dyDescent="0.2">
      <c r="C8" s="200"/>
      <c r="P8" s="201"/>
    </row>
    <row r="9" spans="1:16" x14ac:dyDescent="0.2">
      <c r="C9" s="399" t="s">
        <v>267</v>
      </c>
      <c r="D9" s="400"/>
      <c r="E9" s="400"/>
      <c r="F9" s="400"/>
      <c r="G9" s="400"/>
      <c r="H9" s="400"/>
      <c r="I9" s="400"/>
      <c r="J9" s="400"/>
      <c r="K9" s="400"/>
      <c r="L9" s="400"/>
      <c r="M9" s="400"/>
      <c r="N9" s="400"/>
      <c r="O9" s="400"/>
      <c r="P9" s="401"/>
    </row>
    <row r="10" spans="1:16" ht="16" thickBot="1" x14ac:dyDescent="0.25">
      <c r="C10" s="402"/>
      <c r="D10" s="403"/>
      <c r="E10" s="403"/>
      <c r="F10" s="403"/>
      <c r="G10" s="403"/>
      <c r="H10" s="403"/>
      <c r="I10" s="403"/>
      <c r="J10" s="403"/>
      <c r="K10" s="403"/>
      <c r="L10" s="403"/>
      <c r="M10" s="403"/>
      <c r="N10" s="403"/>
      <c r="O10" s="403"/>
      <c r="P10" s="404"/>
    </row>
    <row r="11" spans="1:16" ht="16" thickBot="1" x14ac:dyDescent="0.25">
      <c r="C11" s="180"/>
    </row>
    <row r="12" spans="1:16" x14ac:dyDescent="0.2">
      <c r="C12" s="372" t="s">
        <v>125</v>
      </c>
      <c r="D12" s="373"/>
      <c r="E12" s="373"/>
      <c r="F12" s="198"/>
      <c r="G12" s="198"/>
      <c r="H12" s="198"/>
      <c r="I12" s="198"/>
      <c r="J12" s="198"/>
      <c r="K12" s="198"/>
      <c r="L12" s="198"/>
      <c r="M12" s="198"/>
      <c r="N12" s="198"/>
      <c r="O12" s="198"/>
      <c r="P12" s="199"/>
    </row>
    <row r="13" spans="1:16" x14ac:dyDescent="0.2">
      <c r="C13" s="200"/>
      <c r="P13" s="201"/>
    </row>
    <row r="14" spans="1:16" x14ac:dyDescent="0.2">
      <c r="C14" s="202" t="s">
        <v>159</v>
      </c>
      <c r="P14" s="201"/>
    </row>
    <row r="15" spans="1:16" x14ac:dyDescent="0.2">
      <c r="C15" s="202" t="s">
        <v>160</v>
      </c>
      <c r="F15" s="203"/>
      <c r="H15" s="285">
        <v>0.12</v>
      </c>
      <c r="J15" s="173" t="s">
        <v>162</v>
      </c>
      <c r="P15" s="201"/>
    </row>
    <row r="16" spans="1:16" x14ac:dyDescent="0.2">
      <c r="C16" s="202" t="s">
        <v>161</v>
      </c>
      <c r="H16" s="285">
        <v>0.14000000000000001</v>
      </c>
      <c r="J16" s="173" t="s">
        <v>163</v>
      </c>
      <c r="P16" s="201"/>
    </row>
    <row r="17" spans="3:16" x14ac:dyDescent="0.2">
      <c r="C17" s="202" t="s">
        <v>164</v>
      </c>
      <c r="I17" s="220">
        <f>I37</f>
        <v>2026</v>
      </c>
      <c r="J17" s="220">
        <f>I17+1</f>
        <v>2027</v>
      </c>
      <c r="K17" s="220">
        <f>J17+1</f>
        <v>2028</v>
      </c>
      <c r="L17" s="220">
        <f>K17+1</f>
        <v>2029</v>
      </c>
      <c r="M17" s="220">
        <f>L17+1</f>
        <v>2030</v>
      </c>
      <c r="P17" s="201"/>
    </row>
    <row r="18" spans="3:16" x14ac:dyDescent="0.2">
      <c r="C18" s="202"/>
      <c r="H18" s="203"/>
      <c r="I18" s="284">
        <v>-0.08</v>
      </c>
      <c r="J18" s="284">
        <v>-0.05</v>
      </c>
      <c r="K18" s="284">
        <v>-0.03</v>
      </c>
      <c r="L18" s="284">
        <v>0</v>
      </c>
      <c r="M18" s="284">
        <v>0.02</v>
      </c>
      <c r="N18" s="173" t="s">
        <v>165</v>
      </c>
      <c r="P18" s="201"/>
    </row>
    <row r="19" spans="3:16" ht="16" thickBot="1" x14ac:dyDescent="0.25">
      <c r="C19" s="204"/>
      <c r="D19" s="205"/>
      <c r="E19" s="205"/>
      <c r="F19" s="205"/>
      <c r="G19" s="205"/>
      <c r="H19" s="206"/>
      <c r="I19" s="205"/>
      <c r="J19" s="205"/>
      <c r="K19" s="205"/>
      <c r="L19" s="205"/>
      <c r="M19" s="205"/>
      <c r="N19" s="205"/>
      <c r="O19" s="205"/>
      <c r="P19" s="207"/>
    </row>
    <row r="20" spans="3:16" ht="16" thickBot="1" x14ac:dyDescent="0.25">
      <c r="C20" s="180"/>
      <c r="H20" s="203"/>
    </row>
    <row r="21" spans="3:16" x14ac:dyDescent="0.2">
      <c r="C21" s="372" t="s">
        <v>214</v>
      </c>
      <c r="D21" s="373"/>
      <c r="E21" s="373"/>
      <c r="F21" s="198"/>
      <c r="G21" s="198"/>
      <c r="H21" s="198"/>
      <c r="I21" s="198"/>
      <c r="J21" s="198"/>
      <c r="K21" s="198"/>
      <c r="L21" s="198"/>
      <c r="M21" s="198"/>
      <c r="N21" s="198"/>
      <c r="O21" s="198"/>
      <c r="P21" s="199"/>
    </row>
    <row r="22" spans="3:16" x14ac:dyDescent="0.2">
      <c r="C22" s="200"/>
      <c r="P22" s="201"/>
    </row>
    <row r="23" spans="3:16" x14ac:dyDescent="0.2">
      <c r="C23" s="200"/>
      <c r="P23" s="201"/>
    </row>
    <row r="24" spans="3:16" x14ac:dyDescent="0.2">
      <c r="C24" s="200"/>
      <c r="I24" s="221">
        <f>I17</f>
        <v>2026</v>
      </c>
      <c r="J24" s="221">
        <f>I24+1</f>
        <v>2027</v>
      </c>
      <c r="K24" s="221">
        <f>J24+1</f>
        <v>2028</v>
      </c>
      <c r="L24" s="221">
        <f>K24+1</f>
        <v>2029</v>
      </c>
      <c r="M24" s="221">
        <f>L24+1</f>
        <v>2030</v>
      </c>
      <c r="P24" s="201"/>
    </row>
    <row r="25" spans="3:16" x14ac:dyDescent="0.2">
      <c r="C25" s="200"/>
      <c r="H25" s="173" t="s">
        <v>167</v>
      </c>
      <c r="I25" s="286">
        <v>0.20399999999999999</v>
      </c>
      <c r="J25" s="286">
        <v>0.245</v>
      </c>
      <c r="K25" s="286">
        <v>0.28299999999999997</v>
      </c>
      <c r="L25" s="286">
        <v>0.42099999999999999</v>
      </c>
      <c r="M25" s="286">
        <v>0.35</v>
      </c>
      <c r="P25" s="201"/>
    </row>
    <row r="26" spans="3:16" x14ac:dyDescent="0.2">
      <c r="C26" s="200"/>
      <c r="H26" s="173" t="s">
        <v>168</v>
      </c>
      <c r="I26" s="286">
        <v>0.15890000000000001</v>
      </c>
      <c r="J26" s="286">
        <v>0.1245</v>
      </c>
      <c r="K26" s="286">
        <v>0.1012</v>
      </c>
      <c r="L26" s="286">
        <v>8.6499999999999994E-2</v>
      </c>
      <c r="M26" s="286">
        <v>7.0000000000000007E-2</v>
      </c>
      <c r="P26" s="201"/>
    </row>
    <row r="27" spans="3:16" x14ac:dyDescent="0.2">
      <c r="C27" s="200"/>
      <c r="H27" s="173" t="s">
        <v>169</v>
      </c>
      <c r="I27" s="286">
        <v>0.153</v>
      </c>
      <c r="J27" s="286">
        <v>0.16400000000000001</v>
      </c>
      <c r="K27" s="286">
        <v>0.17499999999999999</v>
      </c>
      <c r="L27" s="286">
        <v>0.186</v>
      </c>
      <c r="M27" s="286">
        <v>0.16</v>
      </c>
      <c r="P27" s="201"/>
    </row>
    <row r="28" spans="3:16" x14ac:dyDescent="0.2">
      <c r="C28" s="200"/>
      <c r="H28" s="173" t="s">
        <v>170</v>
      </c>
      <c r="I28" s="286">
        <v>0.16700000000000001</v>
      </c>
      <c r="J28" s="286">
        <v>0.14000000000000001</v>
      </c>
      <c r="K28" s="286">
        <v>0.12</v>
      </c>
      <c r="L28" s="286">
        <v>0.1</v>
      </c>
      <c r="M28" s="286">
        <v>0.09</v>
      </c>
      <c r="P28" s="201"/>
    </row>
    <row r="29" spans="3:16" x14ac:dyDescent="0.2">
      <c r="C29" s="200"/>
      <c r="H29" s="173" t="s">
        <v>171</v>
      </c>
      <c r="I29" s="286">
        <v>0.13400000000000001</v>
      </c>
      <c r="J29" s="286">
        <v>0.14000000000000001</v>
      </c>
      <c r="K29" s="286">
        <v>0.152</v>
      </c>
      <c r="L29" s="286">
        <v>0.16200000000000001</v>
      </c>
      <c r="M29" s="286">
        <v>0.14000000000000001</v>
      </c>
      <c r="P29" s="201"/>
    </row>
    <row r="30" spans="3:16" x14ac:dyDescent="0.2">
      <c r="C30" s="200"/>
      <c r="H30" s="180" t="s">
        <v>172</v>
      </c>
      <c r="I30" s="210">
        <f>AVERAGE(I25:I29)</f>
        <v>0.16338000000000003</v>
      </c>
      <c r="J30" s="210">
        <f t="shared" ref="J30:M30" si="0">AVERAGE(J25:J29)</f>
        <v>0.16270000000000001</v>
      </c>
      <c r="K30" s="210">
        <f t="shared" si="0"/>
        <v>0.16624</v>
      </c>
      <c r="L30" s="210">
        <f t="shared" si="0"/>
        <v>0.19109999999999999</v>
      </c>
      <c r="M30" s="210">
        <f t="shared" si="0"/>
        <v>0.16199999999999998</v>
      </c>
      <c r="P30" s="201"/>
    </row>
    <row r="31" spans="3:16" ht="16" thickBot="1" x14ac:dyDescent="0.25">
      <c r="C31" s="204"/>
      <c r="D31" s="205"/>
      <c r="E31" s="205"/>
      <c r="F31" s="205"/>
      <c r="G31" s="205"/>
      <c r="H31" s="205"/>
      <c r="I31" s="205"/>
      <c r="J31" s="205"/>
      <c r="K31" s="205"/>
      <c r="L31" s="205"/>
      <c r="M31" s="205"/>
      <c r="N31" s="205"/>
      <c r="O31" s="205"/>
      <c r="P31" s="207"/>
    </row>
    <row r="32" spans="3:16" ht="16" thickBot="1" x14ac:dyDescent="0.25">
      <c r="C32" s="180"/>
    </row>
    <row r="33" spans="3:16" x14ac:dyDescent="0.2">
      <c r="C33" s="405" t="s">
        <v>216</v>
      </c>
      <c r="D33" s="406"/>
      <c r="E33" s="406"/>
      <c r="F33" s="198"/>
      <c r="G33" s="198"/>
      <c r="H33" s="198"/>
      <c r="I33" s="198"/>
      <c r="J33" s="198"/>
      <c r="K33" s="198"/>
      <c r="L33" s="198"/>
      <c r="M33" s="198"/>
      <c r="N33" s="198"/>
      <c r="O33" s="198"/>
      <c r="P33" s="199"/>
    </row>
    <row r="34" spans="3:16" x14ac:dyDescent="0.2">
      <c r="C34" s="407"/>
      <c r="D34" s="408"/>
      <c r="E34" s="408"/>
      <c r="P34" s="201"/>
    </row>
    <row r="35" spans="3:16" x14ac:dyDescent="0.2">
      <c r="C35" s="202"/>
      <c r="P35" s="201"/>
    </row>
    <row r="36" spans="3:16" x14ac:dyDescent="0.2">
      <c r="C36" s="228" t="s">
        <v>1</v>
      </c>
      <c r="D36" s="229"/>
      <c r="E36" s="229"/>
      <c r="F36" s="229"/>
      <c r="G36" s="374"/>
      <c r="H36" s="230"/>
      <c r="I36" s="231" t="s">
        <v>2</v>
      </c>
      <c r="J36" s="231"/>
      <c r="K36" s="231"/>
      <c r="L36" s="231"/>
      <c r="M36" s="231"/>
      <c r="P36" s="201"/>
    </row>
    <row r="37" spans="3:16" x14ac:dyDescent="0.2">
      <c r="C37" s="218"/>
      <c r="D37" s="179"/>
      <c r="E37" s="179"/>
      <c r="F37" s="179"/>
      <c r="G37" s="117" t="s">
        <v>4</v>
      </c>
      <c r="H37" s="378">
        <v>2025</v>
      </c>
      <c r="I37" s="375">
        <f>H37+1</f>
        <v>2026</v>
      </c>
      <c r="J37" s="221">
        <f>I37+1</f>
        <v>2027</v>
      </c>
      <c r="K37" s="221">
        <f>J37+1</f>
        <v>2028</v>
      </c>
      <c r="L37" s="221">
        <f>K37+1</f>
        <v>2029</v>
      </c>
      <c r="M37" s="221">
        <f>L37+1</f>
        <v>2030</v>
      </c>
      <c r="O37" s="193" t="s">
        <v>174</v>
      </c>
      <c r="P37" s="201"/>
    </row>
    <row r="38" spans="3:16" x14ac:dyDescent="0.2">
      <c r="C38" s="202" t="s">
        <v>173</v>
      </c>
      <c r="G38" s="173" t="s">
        <v>19</v>
      </c>
      <c r="H38" s="379">
        <f>('Simple Operating Model'!I10/'Simple Operating Model'!H10)-1</f>
        <v>-2.9306991503736279E-2</v>
      </c>
      <c r="I38" s="379">
        <f>H38-0.02</f>
        <v>-4.9306991503736283E-2</v>
      </c>
      <c r="J38" s="379">
        <f t="shared" ref="J38:M38" si="1">I38-0.02</f>
        <v>-6.9306991503736287E-2</v>
      </c>
      <c r="K38" s="379">
        <f t="shared" si="1"/>
        <v>-8.9306991503736291E-2</v>
      </c>
      <c r="L38" s="379">
        <f t="shared" si="1"/>
        <v>-0.10930699150373629</v>
      </c>
      <c r="M38" s="379">
        <f t="shared" si="1"/>
        <v>-0.12930699150373628</v>
      </c>
      <c r="O38" s="247" t="str">
        <f>C38</f>
        <v>Historic Growth Rate</v>
      </c>
      <c r="P38" s="201"/>
    </row>
    <row r="39" spans="3:16" x14ac:dyDescent="0.2">
      <c r="C39" s="202" t="s">
        <v>166</v>
      </c>
      <c r="H39" s="380">
        <f>'Simple Operating Model'!I10</f>
        <v>94827</v>
      </c>
      <c r="I39" s="377">
        <f>(H39/$H$15)*(1+$H$16)*($H$15*(1+I18))</f>
        <v>99454.557600000015</v>
      </c>
      <c r="J39" s="377">
        <f t="shared" ref="J39:M39" si="2">(I39/$H$15)*(1+$H$16)*($H$15*(1+J18))</f>
        <v>107709.28588080002</v>
      </c>
      <c r="K39" s="377">
        <f t="shared" si="2"/>
        <v>119104.92832698867</v>
      </c>
      <c r="L39" s="377">
        <f t="shared" si="2"/>
        <v>135779.61829276709</v>
      </c>
      <c r="M39" s="377">
        <f t="shared" si="2"/>
        <v>157884.54015082959</v>
      </c>
      <c r="O39" s="247" t="str">
        <f>C40</f>
        <v>Market Growth Rate</v>
      </c>
      <c r="P39" s="201"/>
    </row>
    <row r="40" spans="3:16" x14ac:dyDescent="0.2">
      <c r="C40" s="202" t="s">
        <v>157</v>
      </c>
      <c r="H40" s="381"/>
      <c r="I40" s="376">
        <f>(I39/H39)-1</f>
        <v>4.8800000000000177E-2</v>
      </c>
      <c r="J40" s="376">
        <f t="shared" ref="J40:L40" si="3">(J39/I39)-1</f>
        <v>8.2999999999999963E-2</v>
      </c>
      <c r="K40" s="376">
        <f t="shared" si="3"/>
        <v>0.10580000000000012</v>
      </c>
      <c r="L40" s="376">
        <f t="shared" si="3"/>
        <v>0.14000000000000012</v>
      </c>
      <c r="M40" s="376">
        <f>(M39/L39)-1</f>
        <v>0.16280000000000006</v>
      </c>
      <c r="O40" s="247" t="str">
        <f>C41</f>
        <v>Research Forecasts</v>
      </c>
      <c r="P40" s="201"/>
    </row>
    <row r="41" spans="3:16" x14ac:dyDescent="0.2">
      <c r="C41" s="202" t="s">
        <v>213</v>
      </c>
      <c r="H41" s="382"/>
      <c r="I41" s="376">
        <f>I30</f>
        <v>0.16338000000000003</v>
      </c>
      <c r="J41" s="376">
        <f t="shared" ref="J41:M41" si="4">J30</f>
        <v>0.16270000000000001</v>
      </c>
      <c r="K41" s="376">
        <f t="shared" si="4"/>
        <v>0.16624</v>
      </c>
      <c r="L41" s="376">
        <f t="shared" si="4"/>
        <v>0.19109999999999999</v>
      </c>
      <c r="M41" s="376">
        <f t="shared" si="4"/>
        <v>0.16199999999999998</v>
      </c>
      <c r="P41" s="201"/>
    </row>
    <row r="42" spans="3:16" ht="16" thickBot="1" x14ac:dyDescent="0.25">
      <c r="C42" s="208"/>
      <c r="D42" s="205"/>
      <c r="E42" s="205"/>
      <c r="F42" s="205"/>
      <c r="G42" s="205"/>
      <c r="H42" s="205"/>
      <c r="I42" s="205"/>
      <c r="J42" s="205"/>
      <c r="K42" s="205"/>
      <c r="L42" s="205"/>
      <c r="M42" s="205"/>
      <c r="N42" s="205"/>
      <c r="O42" s="205"/>
      <c r="P42" s="207"/>
    </row>
    <row r="43" spans="3:16" ht="16" thickBot="1" x14ac:dyDescent="0.25"/>
    <row r="44" spans="3:16" ht="16" thickBot="1" x14ac:dyDescent="0.25">
      <c r="C44" s="372" t="s">
        <v>217</v>
      </c>
      <c r="D44" s="373"/>
      <c r="E44" s="373"/>
      <c r="F44" s="198"/>
      <c r="G44" s="198"/>
      <c r="H44" s="198"/>
      <c r="I44" s="198"/>
      <c r="J44" s="219"/>
      <c r="K44" s="219"/>
      <c r="L44" s="219"/>
      <c r="M44" s="219"/>
      <c r="N44" s="198"/>
      <c r="O44" s="198"/>
      <c r="P44" s="199"/>
    </row>
    <row r="45" spans="3:16" ht="16" thickBot="1" x14ac:dyDescent="0.25">
      <c r="C45" s="200"/>
      <c r="P45" s="201"/>
    </row>
    <row r="46" spans="3:16" ht="16" thickBot="1" x14ac:dyDescent="0.25">
      <c r="C46" s="200" t="s">
        <v>122</v>
      </c>
      <c r="E46" s="270" t="s">
        <v>213</v>
      </c>
      <c r="H46" s="173" t="s">
        <v>123</v>
      </c>
      <c r="J46" s="393" t="s">
        <v>271</v>
      </c>
      <c r="K46" s="394"/>
      <c r="L46" s="394"/>
      <c r="M46" s="395"/>
      <c r="P46" s="201"/>
    </row>
    <row r="47" spans="3:16" ht="16" thickBot="1" x14ac:dyDescent="0.25">
      <c r="C47" s="202" t="s">
        <v>215</v>
      </c>
      <c r="J47" s="396"/>
      <c r="K47" s="397"/>
      <c r="L47" s="397"/>
      <c r="M47" s="398"/>
      <c r="P47" s="201"/>
    </row>
    <row r="48" spans="3:16" ht="16" thickBot="1" x14ac:dyDescent="0.25">
      <c r="C48" s="208"/>
      <c r="D48" s="205"/>
      <c r="E48" s="205"/>
      <c r="F48" s="205"/>
      <c r="G48" s="205"/>
      <c r="H48" s="205"/>
      <c r="I48" s="205"/>
      <c r="J48" s="211"/>
      <c r="K48" s="211"/>
      <c r="L48" s="211"/>
      <c r="M48" s="211"/>
      <c r="N48" s="205"/>
      <c r="O48" s="205"/>
      <c r="P48" s="207"/>
    </row>
    <row r="999" spans="648:648" ht="16" x14ac:dyDescent="0.2">
      <c r="XX999" s="217">
        <v>66258</v>
      </c>
    </row>
  </sheetData>
  <mergeCells count="3">
    <mergeCell ref="J46:M47"/>
    <mergeCell ref="C9:P10"/>
    <mergeCell ref="C33:E34"/>
  </mergeCells>
  <conditionalFormatting sqref="I30:M30 H38:M38 I39:M41">
    <cfRule type="expression" dxfId="5" priority="13" stopIfTrue="1">
      <formula>H30=""</formula>
    </cfRule>
  </conditionalFormatting>
  <dataValidations count="1">
    <dataValidation type="list" allowBlank="1" showInputMessage="1" showErrorMessage="1" sqref="E46" xr:uid="{9AB6A6B5-CFC0-4ED3-935B-4F8C7F48187B}">
      <formula1>$O$37:$O$40</formula1>
    </dataValidation>
  </dataValidations>
  <pageMargins left="0.7" right="0.7" top="0.75" bottom="0.75" header="0.3" footer="0.3"/>
  <ignoredErrors>
    <ignoredError sqref="I37:M37 I17:M17 I24:M24" unlockedFormula="1"/>
  </ignoredErrors>
  <extLst>
    <ext xmlns:x14="http://schemas.microsoft.com/office/spreadsheetml/2009/9/main" uri="{78C0D931-6437-407d-A8EE-F0AAD7539E65}">
      <x14:conditionalFormattings>
        <x14:conditionalFormatting xmlns:xm="http://schemas.microsoft.com/office/excel/2006/main">
          <x14:cfRule type="expression" priority="15" id="{B467B390-BCE4-4C49-A11D-438706ECAC44}">
            <xm:f>H30='CONDFORM 1'!H30</xm:f>
            <x14:dxf>
              <font>
                <color theme="7"/>
              </font>
              <fill>
                <patternFill>
                  <bgColor theme="6"/>
                </patternFill>
              </fill>
            </x14:dxf>
          </x14:cfRule>
          <x14:cfRule type="expression" priority="17" id="{9402FA91-26FF-49E0-B439-401D3016E145}">
            <xm:f>H30&lt;&gt;'CONDFORM 1'!H30</xm:f>
            <x14:dxf>
              <font>
                <color theme="5"/>
              </font>
              <fill>
                <patternFill>
                  <bgColor theme="4"/>
                </patternFill>
              </fill>
            </x14:dxf>
          </x14:cfRule>
          <xm:sqref>I30:M30 H38:M38 I39:M41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48BE-57EC-43E7-9BCB-957354E27671}">
  <sheetPr codeName="Sheet3"/>
  <dimension ref="A2:XV1003"/>
  <sheetViews>
    <sheetView showGridLines="0" topLeftCell="F1" zoomScaleNormal="100" workbookViewId="0">
      <selection activeCell="V26" sqref="V26"/>
    </sheetView>
  </sheetViews>
  <sheetFormatPr baseColWidth="10" defaultColWidth="9.1640625" defaultRowHeight="15" x14ac:dyDescent="0.2"/>
  <cols>
    <col min="1" max="1" width="9.1640625" style="24"/>
    <col min="2" max="2" width="3.6640625" style="1" customWidth="1"/>
    <col min="3" max="3" width="13.6640625" style="1" customWidth="1"/>
    <col min="4" max="4" width="16.1640625" style="1" customWidth="1"/>
    <col min="5" max="6" width="13.6640625" style="1" customWidth="1"/>
    <col min="7" max="7" width="15.5" style="1" customWidth="1"/>
    <col min="8" max="10" width="13.5" style="1" customWidth="1"/>
    <col min="11" max="16" width="13.6640625" style="1" customWidth="1"/>
    <col min="17" max="16384" width="9.1640625" style="1"/>
  </cols>
  <sheetData>
    <row r="2" spans="1:16" ht="18" thickBot="1" x14ac:dyDescent="0.25">
      <c r="C2" s="315" t="s">
        <v>101</v>
      </c>
      <c r="D2" s="316"/>
      <c r="E2" s="316"/>
      <c r="F2" s="317"/>
      <c r="G2" s="318"/>
      <c r="H2" s="318"/>
      <c r="I2" s="318"/>
      <c r="J2" s="318"/>
      <c r="K2" s="318"/>
      <c r="L2" s="318"/>
      <c r="M2" s="318"/>
      <c r="N2" s="318"/>
      <c r="O2" s="318"/>
      <c r="P2" s="318"/>
    </row>
    <row r="3" spans="1:16" x14ac:dyDescent="0.2">
      <c r="C3" s="138" t="s">
        <v>102</v>
      </c>
      <c r="D3" s="3"/>
      <c r="E3" s="3"/>
      <c r="F3" s="4"/>
    </row>
    <row r="5" spans="1:16" s="311" customFormat="1" ht="18" thickBot="1" x14ac:dyDescent="0.25">
      <c r="A5" s="312" t="s">
        <v>25</v>
      </c>
      <c r="B5" s="313"/>
      <c r="C5" s="314" t="s">
        <v>1</v>
      </c>
      <c r="D5" s="308"/>
      <c r="E5" s="309"/>
      <c r="F5" s="310"/>
    </row>
    <row r="7" spans="1:16" x14ac:dyDescent="0.2">
      <c r="A7" s="136"/>
      <c r="B7" s="8"/>
      <c r="C7" s="319" t="s">
        <v>1</v>
      </c>
      <c r="D7" s="319"/>
      <c r="E7" s="319"/>
      <c r="F7" s="319"/>
      <c r="G7" s="320"/>
      <c r="H7" s="321"/>
      <c r="I7" s="322"/>
      <c r="J7" s="325" t="s">
        <v>2</v>
      </c>
      <c r="K7" s="325"/>
      <c r="L7" s="325"/>
      <c r="M7" s="325"/>
      <c r="N7" s="325"/>
    </row>
    <row r="8" spans="1:16" x14ac:dyDescent="0.2">
      <c r="C8" s="13" t="s">
        <v>3</v>
      </c>
      <c r="D8" s="14"/>
      <c r="E8" s="14"/>
      <c r="F8" s="14"/>
      <c r="G8" s="15" t="s">
        <v>4</v>
      </c>
      <c r="H8" s="323">
        <f>I8-1</f>
        <v>2024</v>
      </c>
      <c r="I8" s="324">
        <v>2025</v>
      </c>
      <c r="J8" s="326">
        <f>I8+1</f>
        <v>2026</v>
      </c>
      <c r="K8" s="326">
        <f>J8+1</f>
        <v>2027</v>
      </c>
      <c r="L8" s="326">
        <f>K8+1</f>
        <v>2028</v>
      </c>
      <c r="M8" s="326">
        <f>L8+1</f>
        <v>2029</v>
      </c>
      <c r="N8" s="326">
        <f>M8+1</f>
        <v>2030</v>
      </c>
    </row>
    <row r="9" spans="1:16" ht="4" customHeight="1" x14ac:dyDescent="0.2">
      <c r="G9" s="16"/>
      <c r="I9" s="116"/>
    </row>
    <row r="10" spans="1:16" x14ac:dyDescent="0.2">
      <c r="C10" s="1" t="s">
        <v>5</v>
      </c>
      <c r="G10" s="15" t="s">
        <v>6</v>
      </c>
      <c r="H10" s="19">
        <v>97690</v>
      </c>
      <c r="I10" s="17">
        <v>94827</v>
      </c>
      <c r="J10" s="154">
        <f>I10*(1+J33)</f>
        <v>110319.83526000001</v>
      </c>
      <c r="K10" s="154">
        <f>J10*(1+K33)</f>
        <v>128268.87245680201</v>
      </c>
      <c r="L10" s="255">
        <f>K10*(1+L33)</f>
        <v>149592.28981402077</v>
      </c>
      <c r="M10" s="154">
        <f>L10*(1+M33)</f>
        <v>178179.37639748014</v>
      </c>
      <c r="N10" s="154">
        <f>M10*(1+N33)</f>
        <v>207044.43537387191</v>
      </c>
    </row>
    <row r="11" spans="1:16" x14ac:dyDescent="0.2">
      <c r="C11" s="18" t="s">
        <v>7</v>
      </c>
      <c r="D11" s="18"/>
      <c r="E11" s="18"/>
      <c r="F11" s="18"/>
      <c r="G11" s="15" t="s">
        <v>6</v>
      </c>
      <c r="H11" s="19">
        <v>80240</v>
      </c>
      <c r="I11" s="17">
        <v>77733</v>
      </c>
      <c r="J11" s="154">
        <f>J10*J34</f>
        <v>90433.017540000001</v>
      </c>
      <c r="K11" s="154">
        <f>K10*K34</f>
        <v>102910.26570596888</v>
      </c>
      <c r="L11" s="154">
        <f>L10*L34</f>
        <v>117410.11797145793</v>
      </c>
      <c r="M11" s="154">
        <f>M10*M34</f>
        <v>136740.86190695682</v>
      </c>
      <c r="N11" s="154">
        <f>N10*N34</f>
        <v>155283.32653040392</v>
      </c>
    </row>
    <row r="12" spans="1:16" x14ac:dyDescent="0.2">
      <c r="C12" s="20" t="s">
        <v>8</v>
      </c>
      <c r="D12" s="20"/>
      <c r="E12" s="20"/>
      <c r="F12" s="20"/>
      <c r="G12" s="21" t="s">
        <v>6</v>
      </c>
      <c r="H12" s="50">
        <v>17450</v>
      </c>
      <c r="I12" s="51">
        <f>I10-I11</f>
        <v>17094</v>
      </c>
      <c r="J12" s="50">
        <f t="shared" ref="J12:N12" si="0">J10-J11</f>
        <v>19886.817720000006</v>
      </c>
      <c r="K12" s="50">
        <f t="shared" si="0"/>
        <v>25358.606750833133</v>
      </c>
      <c r="L12" s="50">
        <f t="shared" si="0"/>
        <v>32182.171842562835</v>
      </c>
      <c r="M12" s="50">
        <f t="shared" si="0"/>
        <v>41438.514490523317</v>
      </c>
      <c r="N12" s="50">
        <f t="shared" si="0"/>
        <v>51761.108843467984</v>
      </c>
      <c r="O12" s="24"/>
    </row>
    <row r="13" spans="1:16" ht="6.25" customHeight="1" x14ac:dyDescent="0.2">
      <c r="C13" s="24"/>
      <c r="D13" s="24"/>
      <c r="E13" s="24"/>
      <c r="F13" s="24"/>
      <c r="G13" s="15"/>
      <c r="H13" s="26"/>
      <c r="I13" s="25"/>
      <c r="J13" s="26"/>
      <c r="K13" s="26"/>
      <c r="L13" s="26"/>
      <c r="M13" s="26"/>
      <c r="N13" s="26"/>
    </row>
    <row r="14" spans="1:16" x14ac:dyDescent="0.2">
      <c r="C14" s="18" t="s">
        <v>9</v>
      </c>
      <c r="D14" s="18"/>
      <c r="E14" s="18"/>
      <c r="F14" s="18"/>
      <c r="G14" s="15" t="s">
        <v>6</v>
      </c>
      <c r="H14" s="19">
        <v>4540</v>
      </c>
      <c r="I14" s="17">
        <v>6411</v>
      </c>
      <c r="J14" s="154">
        <f>J35*J10</f>
        <v>4412.7934104000005</v>
      </c>
      <c r="K14" s="154">
        <f>K35*K10</f>
        <v>5130.7548982720809</v>
      </c>
      <c r="L14" s="154">
        <f>L35*L10</f>
        <v>5983.6915925608309</v>
      </c>
      <c r="M14" s="154">
        <f>M35*M10</f>
        <v>7127.1750558992062</v>
      </c>
      <c r="N14" s="154">
        <f>N35*N10</f>
        <v>6211.3330612161571</v>
      </c>
    </row>
    <row r="15" spans="1:16" x14ac:dyDescent="0.2">
      <c r="C15" s="18" t="s">
        <v>10</v>
      </c>
      <c r="D15" s="18"/>
      <c r="E15" s="18"/>
      <c r="F15" s="18"/>
      <c r="G15" s="15" t="s">
        <v>6</v>
      </c>
      <c r="H15" s="19">
        <v>5150</v>
      </c>
      <c r="I15" s="17">
        <v>5834</v>
      </c>
      <c r="J15" s="255">
        <f>J36*J10</f>
        <v>5515.9917630000009</v>
      </c>
      <c r="K15" s="154">
        <f>K36*K10</f>
        <v>6092.7714416980953</v>
      </c>
      <c r="L15" s="154">
        <f>L36*L10</f>
        <v>6731.6530416309342</v>
      </c>
      <c r="M15" s="154">
        <f>M36*M10</f>
        <v>7572.6234968929057</v>
      </c>
      <c r="N15" s="154">
        <f>N36*N10</f>
        <v>8281.7774149548768</v>
      </c>
    </row>
    <row r="16" spans="1:16" x14ac:dyDescent="0.2">
      <c r="C16" s="18" t="s">
        <v>132</v>
      </c>
      <c r="D16" s="18"/>
      <c r="E16" s="18"/>
      <c r="F16" s="18"/>
      <c r="G16" s="15"/>
      <c r="H16" s="19">
        <v>684</v>
      </c>
      <c r="I16" s="17">
        <v>494</v>
      </c>
      <c r="J16" s="154">
        <v>0</v>
      </c>
      <c r="K16" s="154">
        <v>0</v>
      </c>
      <c r="L16" s="154">
        <v>0</v>
      </c>
      <c r="M16" s="154">
        <v>0</v>
      </c>
      <c r="N16" s="154">
        <v>0</v>
      </c>
      <c r="P16" s="24"/>
    </row>
    <row r="17" spans="1:16" x14ac:dyDescent="0.2">
      <c r="B17" s="60"/>
      <c r="C17" s="27" t="s">
        <v>11</v>
      </c>
      <c r="D17" s="27"/>
      <c r="E17" s="27"/>
      <c r="F17" s="27"/>
      <c r="G17" s="21" t="s">
        <v>6</v>
      </c>
      <c r="H17" s="22">
        <v>7076</v>
      </c>
      <c r="I17" s="23">
        <f>I12-SUM(I14:I16)</f>
        <v>4355</v>
      </c>
      <c r="J17" s="22">
        <f t="shared" ref="J17:N17" si="1">J12-SUM(J14:J15)</f>
        <v>9958.0325466000049</v>
      </c>
      <c r="K17" s="22">
        <f t="shared" si="1"/>
        <v>14135.080410862956</v>
      </c>
      <c r="L17" s="22">
        <f t="shared" si="1"/>
        <v>19466.827208371069</v>
      </c>
      <c r="M17" s="256">
        <f>M12-SUM(M14:M15)</f>
        <v>26738.715937731205</v>
      </c>
      <c r="N17" s="22">
        <f t="shared" si="1"/>
        <v>37267.998367296954</v>
      </c>
      <c r="P17" s="24"/>
    </row>
    <row r="18" spans="1:16" ht="6.25" customHeight="1" x14ac:dyDescent="0.2">
      <c r="C18" s="24"/>
      <c r="D18" s="24"/>
      <c r="E18" s="24"/>
      <c r="F18" s="24"/>
      <c r="G18" s="15"/>
      <c r="H18" s="26"/>
      <c r="I18" s="25"/>
      <c r="J18" s="26"/>
      <c r="K18" s="26"/>
      <c r="L18" s="26"/>
      <c r="M18" s="26"/>
      <c r="N18" s="26"/>
      <c r="P18" s="24"/>
    </row>
    <row r="19" spans="1:16" x14ac:dyDescent="0.2">
      <c r="C19" s="18" t="s">
        <v>134</v>
      </c>
      <c r="D19" s="18"/>
      <c r="E19" s="18"/>
      <c r="F19" s="18"/>
      <c r="G19" s="15" t="s">
        <v>6</v>
      </c>
      <c r="H19" s="19">
        <v>1219</v>
      </c>
      <c r="I19" s="17">
        <v>1342</v>
      </c>
      <c r="J19" s="154">
        <v>1137.5</v>
      </c>
      <c r="K19" s="154">
        <v>1421.875</v>
      </c>
      <c r="L19" s="154">
        <v>1777.34375</v>
      </c>
      <c r="M19" s="154">
        <v>2221.6796875</v>
      </c>
      <c r="N19" s="154">
        <v>2777.099609375</v>
      </c>
      <c r="P19" s="24"/>
    </row>
    <row r="20" spans="1:16" x14ac:dyDescent="0.2">
      <c r="C20" s="18" t="s">
        <v>135</v>
      </c>
      <c r="D20" s="18"/>
      <c r="E20" s="18"/>
      <c r="F20" s="18"/>
      <c r="G20" s="15"/>
      <c r="H20" s="19">
        <v>695</v>
      </c>
      <c r="I20" s="17">
        <v>-419</v>
      </c>
      <c r="J20" s="154"/>
      <c r="K20" s="154"/>
      <c r="L20" s="154"/>
      <c r="M20" s="154"/>
      <c r="N20" s="154"/>
      <c r="P20" s="24"/>
    </row>
    <row r="21" spans="1:16" x14ac:dyDescent="0.2">
      <c r="C21" s="28" t="s">
        <v>12</v>
      </c>
      <c r="D21" s="28"/>
      <c r="E21" s="28"/>
      <c r="F21" s="28"/>
      <c r="G21" s="21" t="s">
        <v>6</v>
      </c>
      <c r="H21" s="22">
        <v>8990</v>
      </c>
      <c r="I21" s="22">
        <f>SUM(I17:I20)</f>
        <v>5278</v>
      </c>
      <c r="J21" s="214">
        <f t="shared" ref="J21:N21" si="2">SUM(J17:J20)</f>
        <v>11095.532546600005</v>
      </c>
      <c r="K21" s="22">
        <f t="shared" si="2"/>
        <v>15556.955410862956</v>
      </c>
      <c r="L21" s="22">
        <f t="shared" si="2"/>
        <v>21244.170958371069</v>
      </c>
      <c r="M21" s="22">
        <f t="shared" si="2"/>
        <v>28960.395625231205</v>
      </c>
      <c r="N21" s="22">
        <f t="shared" si="2"/>
        <v>40045.097976671954</v>
      </c>
      <c r="P21" s="24"/>
    </row>
    <row r="22" spans="1:16" ht="17" x14ac:dyDescent="0.2">
      <c r="C22" s="18" t="s">
        <v>133</v>
      </c>
      <c r="D22" s="18"/>
      <c r="E22" s="18"/>
      <c r="F22" s="18"/>
      <c r="G22" s="15" t="s">
        <v>6</v>
      </c>
      <c r="H22" s="19">
        <v>1837</v>
      </c>
      <c r="I22" s="17">
        <v>-1423</v>
      </c>
      <c r="J22" s="154">
        <f>-J38*J21</f>
        <v>-2330.0618347860009</v>
      </c>
      <c r="K22" s="255">
        <f>-K38*K21</f>
        <v>-3266.9606362812206</v>
      </c>
      <c r="L22" s="154">
        <f>-L38*L21</f>
        <v>-4461.2759012579245</v>
      </c>
      <c r="M22" s="154">
        <f>-M38*M21</f>
        <v>-6081.6830812985527</v>
      </c>
      <c r="N22" s="154">
        <f>-N38*N21</f>
        <v>-8409.4705751011097</v>
      </c>
      <c r="P22" s="24"/>
    </row>
    <row r="23" spans="1:16" ht="16" thickBot="1" x14ac:dyDescent="0.25">
      <c r="C23" s="159" t="s">
        <v>13</v>
      </c>
      <c r="D23" s="159"/>
      <c r="E23" s="159"/>
      <c r="F23" s="159"/>
      <c r="G23" s="46" t="s">
        <v>6</v>
      </c>
      <c r="H23" s="160">
        <v>7153</v>
      </c>
      <c r="I23" s="161">
        <f t="shared" ref="I23:N23" si="3">SUM(I21:I22)</f>
        <v>3855</v>
      </c>
      <c r="J23" s="160">
        <f t="shared" si="3"/>
        <v>8765.4707118140032</v>
      </c>
      <c r="K23" s="160">
        <f t="shared" si="3"/>
        <v>12289.994774581735</v>
      </c>
      <c r="L23" s="160">
        <f t="shared" si="3"/>
        <v>16782.895057113143</v>
      </c>
      <c r="M23" s="160">
        <f t="shared" si="3"/>
        <v>22878.712543932652</v>
      </c>
      <c r="N23" s="160">
        <f t="shared" si="3"/>
        <v>31635.627401570844</v>
      </c>
      <c r="P23" s="24"/>
    </row>
    <row r="24" spans="1:16" ht="30" customHeight="1" thickTop="1" x14ac:dyDescent="0.2">
      <c r="C24" s="420" t="s">
        <v>136</v>
      </c>
      <c r="D24" s="420"/>
      <c r="E24" s="420"/>
      <c r="F24" s="420"/>
      <c r="G24" s="15" t="s">
        <v>6</v>
      </c>
      <c r="H24" s="19">
        <v>62</v>
      </c>
      <c r="I24" s="17">
        <v>-61</v>
      </c>
      <c r="J24" s="154">
        <f>-J40*J23</f>
        <v>0</v>
      </c>
      <c r="K24" s="154">
        <f>-K40*K23</f>
        <v>0</v>
      </c>
      <c r="L24" s="154">
        <f>-L40*L23</f>
        <v>0</v>
      </c>
      <c r="M24" s="154">
        <f>-M40*M23</f>
        <v>0</v>
      </c>
      <c r="N24" s="154">
        <f>-N40*N23</f>
        <v>0</v>
      </c>
      <c r="P24" s="24"/>
    </row>
    <row r="25" spans="1:16" ht="16" thickBot="1" x14ac:dyDescent="0.25">
      <c r="C25" s="159" t="s">
        <v>137</v>
      </c>
      <c r="D25" s="159"/>
      <c r="E25" s="159"/>
      <c r="F25" s="159"/>
      <c r="G25" s="46" t="s">
        <v>6</v>
      </c>
      <c r="H25" s="160">
        <v>7091</v>
      </c>
      <c r="I25" s="161">
        <f t="shared" ref="I25:N25" si="4">SUM(I23:I24)</f>
        <v>3794</v>
      </c>
      <c r="J25" s="160">
        <f t="shared" si="4"/>
        <v>8765.4707118140032</v>
      </c>
      <c r="K25" s="160">
        <f t="shared" si="4"/>
        <v>12289.994774581735</v>
      </c>
      <c r="L25" s="160">
        <f t="shared" si="4"/>
        <v>16782.895057113143</v>
      </c>
      <c r="M25" s="160">
        <f t="shared" si="4"/>
        <v>22878.712543932652</v>
      </c>
      <c r="N25" s="160">
        <f t="shared" si="4"/>
        <v>31635.627401570844</v>
      </c>
      <c r="P25" s="24"/>
    </row>
    <row r="26" spans="1:16" ht="15.75" customHeight="1" thickTop="1" x14ac:dyDescent="0.2">
      <c r="I26" s="116"/>
      <c r="P26" s="24"/>
    </row>
    <row r="27" spans="1:16" x14ac:dyDescent="0.2">
      <c r="C27" s="1" t="s">
        <v>14</v>
      </c>
      <c r="G27" s="15" t="s">
        <v>6</v>
      </c>
      <c r="H27" s="29">
        <v>7076</v>
      </c>
      <c r="I27" s="30">
        <f>I17</f>
        <v>4355</v>
      </c>
      <c r="J27" s="29">
        <f>J17</f>
        <v>9958.0325466000049</v>
      </c>
      <c r="K27" s="29">
        <f t="shared" ref="K27:N27" si="5">K17</f>
        <v>14135.080410862956</v>
      </c>
      <c r="L27" s="255">
        <f>L17</f>
        <v>19466.827208371069</v>
      </c>
      <c r="M27" s="29">
        <f t="shared" si="5"/>
        <v>26738.715937731205</v>
      </c>
      <c r="N27" s="29">
        <f t="shared" si="5"/>
        <v>37267.998367296954</v>
      </c>
      <c r="P27" s="24"/>
    </row>
    <row r="28" spans="1:16" ht="17" x14ac:dyDescent="0.2">
      <c r="C28" s="18" t="s">
        <v>103</v>
      </c>
      <c r="G28" s="15" t="s">
        <v>6</v>
      </c>
      <c r="H28" s="31">
        <v>5368</v>
      </c>
      <c r="I28" s="17">
        <v>6148</v>
      </c>
      <c r="J28" s="154">
        <v>6036</v>
      </c>
      <c r="K28" s="154">
        <v>8371</v>
      </c>
      <c r="L28" s="154">
        <v>11085</v>
      </c>
      <c r="M28" s="154">
        <v>13594</v>
      </c>
      <c r="N28" s="154">
        <v>17068</v>
      </c>
      <c r="P28" s="24"/>
    </row>
    <row r="29" spans="1:16" x14ac:dyDescent="0.2">
      <c r="C29" s="27" t="s">
        <v>15</v>
      </c>
      <c r="D29" s="27"/>
      <c r="E29" s="27"/>
      <c r="F29" s="27"/>
      <c r="G29" s="47" t="s">
        <v>6</v>
      </c>
      <c r="H29" s="95">
        <v>12444</v>
      </c>
      <c r="I29" s="162">
        <f>SUM(I27:I28)</f>
        <v>10503</v>
      </c>
      <c r="J29" s="95">
        <f t="shared" ref="J29:M29" si="6">SUM(J27:J28)</f>
        <v>15994.032546600005</v>
      </c>
      <c r="K29" s="95">
        <f t="shared" si="6"/>
        <v>22506.080410862956</v>
      </c>
      <c r="L29" s="95">
        <f t="shared" si="6"/>
        <v>30551.827208371069</v>
      </c>
      <c r="M29" s="95">
        <f t="shared" si="6"/>
        <v>40332.715937731205</v>
      </c>
      <c r="N29" s="256">
        <f>SUM(N27:N28)</f>
        <v>54335.998367296954</v>
      </c>
      <c r="O29" s="24"/>
      <c r="P29" s="24"/>
    </row>
    <row r="30" spans="1:16" customFormat="1" x14ac:dyDescent="0.2">
      <c r="A30" s="137"/>
      <c r="B30" s="32"/>
      <c r="C30" s="1"/>
      <c r="D30" s="1"/>
      <c r="E30" s="1"/>
      <c r="F30" s="1"/>
      <c r="I30" s="33"/>
    </row>
    <row r="31" spans="1:16" customFormat="1" x14ac:dyDescent="0.2">
      <c r="A31" s="24"/>
      <c r="B31" s="1"/>
      <c r="C31" s="242" t="s">
        <v>17</v>
      </c>
      <c r="D31" s="242"/>
      <c r="E31" s="242"/>
      <c r="F31" s="242"/>
      <c r="G31" s="15" t="s">
        <v>4</v>
      </c>
      <c r="I31" s="33"/>
    </row>
    <row r="32" spans="1:16" ht="4" customHeight="1" x14ac:dyDescent="0.2">
      <c r="G32" s="16"/>
      <c r="H32" s="253">
        <v>0</v>
      </c>
      <c r="I32" s="35"/>
      <c r="P32" s="12"/>
    </row>
    <row r="33" spans="1:16" x14ac:dyDescent="0.2">
      <c r="C33" s="36" t="s">
        <v>18</v>
      </c>
      <c r="D33" s="36"/>
      <c r="E33" s="36"/>
      <c r="F33" s="36"/>
      <c r="G33" s="37" t="s">
        <v>19</v>
      </c>
      <c r="H33" s="39">
        <v>9.4757835346634955E-3</v>
      </c>
      <c r="I33" s="163">
        <f>I10/H10-1</f>
        <v>-2.9306991503736279E-2</v>
      </c>
      <c r="J33" s="192">
        <f>'Income Statement Assumptions'!I41</f>
        <v>0.16338000000000003</v>
      </c>
      <c r="K33" s="192">
        <f>'Income Statement Assumptions'!J41</f>
        <v>0.16270000000000001</v>
      </c>
      <c r="L33" s="192">
        <f>'Income Statement Assumptions'!K41</f>
        <v>0.16624</v>
      </c>
      <c r="M33" s="192">
        <f>'Income Statement Assumptions'!L41</f>
        <v>0.19109999999999999</v>
      </c>
      <c r="N33" s="192">
        <f>'Income Statement Assumptions'!M41</f>
        <v>0.16199999999999998</v>
      </c>
      <c r="O33" s="41"/>
      <c r="P33" s="42">
        <f xml:space="preserve"> (J33 - N33) / - 4</f>
        <v>-3.4500000000001196E-4</v>
      </c>
    </row>
    <row r="34" spans="1:16" x14ac:dyDescent="0.2">
      <c r="C34" s="36" t="s">
        <v>20</v>
      </c>
      <c r="D34" s="36"/>
      <c r="E34" s="36"/>
      <c r="F34" s="36"/>
      <c r="G34" s="37" t="s">
        <v>19</v>
      </c>
      <c r="H34" s="39">
        <v>0.82137373323779306</v>
      </c>
      <c r="I34" s="163">
        <f>I11/I10</f>
        <v>0.81973488563383845</v>
      </c>
      <c r="J34" s="40">
        <f>I34</f>
        <v>0.81973488563383845</v>
      </c>
      <c r="K34" s="40">
        <f t="shared" ref="K34:M34" si="7">J34 + $P34</f>
        <v>0.80230116422537878</v>
      </c>
      <c r="L34" s="40">
        <f t="shared" si="7"/>
        <v>0.78486744281691911</v>
      </c>
      <c r="M34" s="40">
        <f t="shared" si="7"/>
        <v>0.76743372140845945</v>
      </c>
      <c r="N34" s="40">
        <v>0.75</v>
      </c>
      <c r="O34" s="41"/>
      <c r="P34" s="42">
        <f xml:space="preserve"> (J34 - N34) / - 4</f>
        <v>-1.7433721408459613E-2</v>
      </c>
    </row>
    <row r="35" spans="1:16" x14ac:dyDescent="0.2">
      <c r="C35" s="36" t="s">
        <v>21</v>
      </c>
      <c r="D35" s="36"/>
      <c r="E35" s="36"/>
      <c r="F35" s="36"/>
      <c r="G35" s="37" t="s">
        <v>19</v>
      </c>
      <c r="H35" s="39">
        <v>0.04</v>
      </c>
      <c r="I35" s="163">
        <f>I14/I10</f>
        <v>6.7607327027112529E-2</v>
      </c>
      <c r="J35" s="43">
        <v>0.04</v>
      </c>
      <c r="K35" s="43">
        <f>J35</f>
        <v>0.04</v>
      </c>
      <c r="L35" s="43">
        <f>K35</f>
        <v>0.04</v>
      </c>
      <c r="M35" s="43">
        <f>L35</f>
        <v>0.04</v>
      </c>
      <c r="N35" s="40">
        <v>0.03</v>
      </c>
      <c r="O35" s="41"/>
      <c r="P35" s="42">
        <f xml:space="preserve"> (J35 - N35) / - 4</f>
        <v>-2.5000000000000005E-3</v>
      </c>
    </row>
    <row r="36" spans="1:16" x14ac:dyDescent="0.2">
      <c r="C36" s="36" t="s">
        <v>22</v>
      </c>
      <c r="D36" s="36"/>
      <c r="E36" s="36"/>
      <c r="F36" s="36"/>
      <c r="G36" s="37" t="s">
        <v>19</v>
      </c>
      <c r="H36" s="39">
        <v>0.05</v>
      </c>
      <c r="I36" s="163">
        <f>I15/I10</f>
        <v>6.1522562139475045E-2</v>
      </c>
      <c r="J36" s="45">
        <v>0.05</v>
      </c>
      <c r="K36" s="45">
        <f>J36 + $P36</f>
        <v>4.7500000000000001E-2</v>
      </c>
      <c r="L36" s="45">
        <f>K36 + $P36</f>
        <v>4.4999999999999998E-2</v>
      </c>
      <c r="M36" s="45">
        <f>L36 + $P36</f>
        <v>4.2499999999999996E-2</v>
      </c>
      <c r="N36" s="45">
        <v>0.04</v>
      </c>
      <c r="O36" s="41"/>
      <c r="P36" s="42">
        <f xml:space="preserve"> (J36 - N36) / - 4</f>
        <v>-2.5000000000000005E-3</v>
      </c>
    </row>
    <row r="37" spans="1:16" x14ac:dyDescent="0.2">
      <c r="C37" s="36" t="s">
        <v>23</v>
      </c>
      <c r="D37" s="36"/>
      <c r="E37" s="36"/>
      <c r="F37" s="36"/>
      <c r="G37" s="37" t="s">
        <v>19</v>
      </c>
      <c r="H37" s="39">
        <v>5.4949329511720747E-2</v>
      </c>
      <c r="I37" s="163">
        <f>I28/I10</f>
        <v>6.4833855336560262E-2</v>
      </c>
      <c r="J37" s="143">
        <f t="shared" ref="J37:N37" si="8">J28/J10</f>
        <v>5.4713642254581439E-2</v>
      </c>
      <c r="K37" s="143">
        <f t="shared" si="8"/>
        <v>6.5261351718977331E-2</v>
      </c>
      <c r="L37" s="143">
        <f t="shared" si="8"/>
        <v>7.4101412671611105E-2</v>
      </c>
      <c r="M37" s="143">
        <f t="shared" si="8"/>
        <v>7.6293902666236119E-2</v>
      </c>
      <c r="N37" s="143">
        <f t="shared" si="8"/>
        <v>8.2436410180159361E-2</v>
      </c>
      <c r="O37" s="41"/>
      <c r="P37" s="41"/>
    </row>
    <row r="38" spans="1:16" x14ac:dyDescent="0.2">
      <c r="C38" s="36" t="s">
        <v>24</v>
      </c>
      <c r="D38" s="36"/>
      <c r="E38" s="36"/>
      <c r="F38" s="36"/>
      <c r="G38" s="37" t="s">
        <v>19</v>
      </c>
      <c r="H38" s="39">
        <v>0.08</v>
      </c>
      <c r="I38" s="163">
        <f>-I22/I21</f>
        <v>0.26960970064418338</v>
      </c>
      <c r="J38" s="45">
        <v>0.21</v>
      </c>
      <c r="K38" s="45">
        <f>J38</f>
        <v>0.21</v>
      </c>
      <c r="L38" s="45">
        <f>K38</f>
        <v>0.21</v>
      </c>
      <c r="M38" s="45">
        <f>L38</f>
        <v>0.21</v>
      </c>
      <c r="N38" s="45">
        <f>M38</f>
        <v>0.21</v>
      </c>
      <c r="O38" s="41"/>
      <c r="P38" s="41"/>
    </row>
    <row r="39" spans="1:16" x14ac:dyDescent="0.2">
      <c r="C39" s="36"/>
      <c r="D39" s="36"/>
      <c r="E39" s="36"/>
      <c r="F39" s="36"/>
      <c r="G39" s="37"/>
      <c r="H39" s="38"/>
      <c r="I39" s="38"/>
      <c r="J39" s="38"/>
      <c r="K39" s="143"/>
      <c r="L39" s="44"/>
      <c r="M39" s="45"/>
      <c r="N39" s="45"/>
      <c r="O39" s="45"/>
      <c r="P39" s="45"/>
    </row>
    <row r="40" spans="1:16" x14ac:dyDescent="0.2">
      <c r="C40" s="68" t="s">
        <v>104</v>
      </c>
      <c r="D40" s="36"/>
      <c r="E40" s="36"/>
      <c r="F40" s="36"/>
      <c r="G40" s="37"/>
      <c r="H40" s="38"/>
      <c r="I40" s="38"/>
      <c r="J40" s="38"/>
      <c r="K40" s="143"/>
      <c r="L40" s="44"/>
      <c r="N40" s="45"/>
      <c r="O40" s="45"/>
      <c r="P40" s="45"/>
    </row>
    <row r="41" spans="1:16" x14ac:dyDescent="0.2">
      <c r="C41" s="48"/>
      <c r="D41" s="52"/>
      <c r="E41" s="53"/>
      <c r="F41" s="54"/>
      <c r="G41" s="54"/>
      <c r="H41" s="54"/>
      <c r="I41" s="55"/>
      <c r="J41" s="55"/>
      <c r="K41" s="55"/>
      <c r="L41" s="55"/>
      <c r="M41" s="55"/>
    </row>
    <row r="42" spans="1:16" s="311" customFormat="1" ht="18" thickBot="1" x14ac:dyDescent="0.25">
      <c r="A42" s="312" t="s">
        <v>175</v>
      </c>
      <c r="B42" s="313"/>
      <c r="C42" s="314" t="s">
        <v>29</v>
      </c>
      <c r="D42" s="308"/>
      <c r="E42" s="309"/>
      <c r="F42" s="310"/>
    </row>
    <row r="43" spans="1:16" ht="15" customHeight="1" x14ac:dyDescent="0.2">
      <c r="C43" s="138"/>
      <c r="D43" s="3"/>
      <c r="E43" s="3"/>
      <c r="F43" s="4"/>
    </row>
    <row r="44" spans="1:16" x14ac:dyDescent="0.2">
      <c r="C44" s="56" t="s">
        <v>30</v>
      </c>
      <c r="D44" s="56"/>
      <c r="E44" s="56"/>
      <c r="F44" s="56"/>
      <c r="G44" s="56"/>
    </row>
    <row r="45" spans="1:16" ht="4" customHeight="1" x14ac:dyDescent="0.2"/>
    <row r="46" spans="1:16" ht="15" customHeight="1" x14ac:dyDescent="0.25">
      <c r="C46" s="1" t="s">
        <v>31</v>
      </c>
      <c r="F46" s="287">
        <v>4.3200000000000002E-2</v>
      </c>
      <c r="G46" s="57">
        <v>1</v>
      </c>
    </row>
    <row r="47" spans="1:16" x14ac:dyDescent="0.2">
      <c r="C47" s="1" t="s">
        <v>32</v>
      </c>
      <c r="F47" s="288">
        <f>'52 weeks share price data'!J14</f>
        <v>1.633921571753054</v>
      </c>
      <c r="G47" s="57">
        <v>2</v>
      </c>
    </row>
    <row r="48" spans="1:16" ht="16" x14ac:dyDescent="0.25">
      <c r="C48" s="1" t="s">
        <v>33</v>
      </c>
      <c r="F48" s="287">
        <v>4.2299999999999997E-2</v>
      </c>
      <c r="G48" s="57">
        <v>3</v>
      </c>
    </row>
    <row r="49" spans="3:19" x14ac:dyDescent="0.2">
      <c r="C49" s="59" t="s">
        <v>34</v>
      </c>
      <c r="D49" s="60"/>
      <c r="E49" s="61"/>
      <c r="F49" s="271">
        <f>F46+(F47*F48)</f>
        <v>0.11231488248515419</v>
      </c>
      <c r="G49" s="62"/>
    </row>
    <row r="50" spans="3:19" x14ac:dyDescent="0.2">
      <c r="G50" s="57"/>
    </row>
    <row r="51" spans="3:19" x14ac:dyDescent="0.2">
      <c r="C51" s="1" t="s">
        <v>35</v>
      </c>
      <c r="F51" s="144">
        <v>4.4499999999999998E-2</v>
      </c>
      <c r="G51" s="57">
        <v>3</v>
      </c>
    </row>
    <row r="52" spans="3:19" x14ac:dyDescent="0.2">
      <c r="C52" s="1" t="s">
        <v>36</v>
      </c>
      <c r="F52" s="63">
        <f>J38</f>
        <v>0.21</v>
      </c>
      <c r="G52" s="64"/>
      <c r="P52" s="216"/>
      <c r="Q52" s="216"/>
      <c r="R52" s="216"/>
      <c r="S52" s="216"/>
    </row>
    <row r="53" spans="3:19" x14ac:dyDescent="0.2">
      <c r="C53" s="59" t="s">
        <v>37</v>
      </c>
      <c r="D53" s="60"/>
      <c r="E53" s="60"/>
      <c r="F53" s="271">
        <f>F51*(1-F52)</f>
        <v>3.5154999999999999E-2</v>
      </c>
      <c r="G53" s="62"/>
      <c r="P53" s="216"/>
      <c r="Q53" s="216"/>
      <c r="R53" s="216"/>
      <c r="S53" s="216"/>
    </row>
    <row r="54" spans="3:19" ht="6.25" customHeight="1" x14ac:dyDescent="0.2">
      <c r="G54" s="57"/>
      <c r="P54" s="58"/>
    </row>
    <row r="55" spans="3:19" x14ac:dyDescent="0.2">
      <c r="C55" s="65" t="s">
        <v>38</v>
      </c>
      <c r="G55" s="57"/>
    </row>
    <row r="56" spans="3:19" x14ac:dyDescent="0.2">
      <c r="C56" s="18" t="s">
        <v>39</v>
      </c>
      <c r="E56" s="164">
        <v>6736</v>
      </c>
      <c r="F56" s="155">
        <f>E56/E58</f>
        <v>4.793393768265204E-3</v>
      </c>
      <c r="G56" s="57"/>
      <c r="P56" s="58"/>
    </row>
    <row r="57" spans="3:19" x14ac:dyDescent="0.2">
      <c r="C57" s="18" t="s">
        <v>40</v>
      </c>
      <c r="E57" s="164">
        <f>G116</f>
        <v>1398531.4004368</v>
      </c>
      <c r="F57" s="155">
        <f>E57/E58</f>
        <v>0.99520660623173485</v>
      </c>
      <c r="G57" s="57"/>
      <c r="P57" s="58"/>
    </row>
    <row r="58" spans="3:19" x14ac:dyDescent="0.2">
      <c r="C58" s="66" t="s">
        <v>41</v>
      </c>
      <c r="D58" s="60"/>
      <c r="E58" s="118">
        <f>SUM(E56:E57)</f>
        <v>1405267.4004368</v>
      </c>
      <c r="F58" s="165">
        <v>1</v>
      </c>
      <c r="G58" s="57"/>
      <c r="P58" s="58"/>
    </row>
    <row r="59" spans="3:19" ht="4" customHeight="1" x14ac:dyDescent="0.2">
      <c r="G59" s="67"/>
      <c r="P59" s="58"/>
    </row>
    <row r="60" spans="3:19" ht="16" thickBot="1" x14ac:dyDescent="0.25">
      <c r="C60" s="119" t="s">
        <v>30</v>
      </c>
      <c r="D60" s="119"/>
      <c r="E60" s="119"/>
      <c r="F60" s="272">
        <f>((F49*F57))+((F53*F56))</f>
        <v>0.11194502478528977</v>
      </c>
      <c r="G60" s="283"/>
      <c r="P60" s="58"/>
    </row>
    <row r="61" spans="3:19" ht="16" thickTop="1" x14ac:dyDescent="0.2">
      <c r="C61" s="68" t="s">
        <v>240</v>
      </c>
      <c r="P61" s="58"/>
    </row>
    <row r="62" spans="3:19" x14ac:dyDescent="0.2">
      <c r="C62" s="68" t="s">
        <v>263</v>
      </c>
    </row>
    <row r="63" spans="3:19" x14ac:dyDescent="0.2">
      <c r="C63" s="68" t="s">
        <v>241</v>
      </c>
    </row>
    <row r="65" spans="1:15" x14ac:dyDescent="0.2">
      <c r="A65" s="142"/>
      <c r="C65" s="319" t="s">
        <v>42</v>
      </c>
      <c r="D65" s="319"/>
      <c r="E65" s="319"/>
      <c r="F65" s="319"/>
      <c r="G65" s="320"/>
      <c r="H65" s="321"/>
      <c r="I65" s="322"/>
      <c r="J65" s="325" t="s">
        <v>2</v>
      </c>
      <c r="K65" s="325"/>
      <c r="L65" s="325"/>
      <c r="M65" s="325"/>
      <c r="N65" s="325"/>
    </row>
    <row r="66" spans="1:15" x14ac:dyDescent="0.2">
      <c r="C66" s="13" t="s">
        <v>43</v>
      </c>
      <c r="D66" s="14"/>
      <c r="E66" s="14"/>
      <c r="F66" s="14"/>
      <c r="G66" s="15" t="s">
        <v>4</v>
      </c>
      <c r="H66" s="323">
        <v>2024</v>
      </c>
      <c r="I66" s="324">
        <v>2025</v>
      </c>
      <c r="J66" s="326">
        <f>$J$8</f>
        <v>2026</v>
      </c>
      <c r="K66" s="326">
        <f>$K$8</f>
        <v>2027</v>
      </c>
      <c r="L66" s="326">
        <f>$L$8</f>
        <v>2028</v>
      </c>
      <c r="M66" s="326">
        <f>$M$8</f>
        <v>2029</v>
      </c>
      <c r="N66" s="326">
        <f>$N$8</f>
        <v>2030</v>
      </c>
    </row>
    <row r="67" spans="1:15" ht="6.25" customHeight="1" x14ac:dyDescent="0.2">
      <c r="C67" s="68"/>
      <c r="H67" s="19"/>
      <c r="I67" s="390"/>
    </row>
    <row r="68" spans="1:15" x14ac:dyDescent="0.2">
      <c r="C68" s="69" t="s">
        <v>14</v>
      </c>
      <c r="G68" s="15" t="s">
        <v>27</v>
      </c>
      <c r="H68" s="19">
        <f t="shared" ref="H68:I68" si="9">H27</f>
        <v>7076</v>
      </c>
      <c r="I68" s="391">
        <f t="shared" si="9"/>
        <v>4355</v>
      </c>
      <c r="J68" s="49">
        <f t="shared" ref="J68:N68" si="10">J27</f>
        <v>9958.0325466000049</v>
      </c>
      <c r="K68" s="49">
        <f t="shared" si="10"/>
        <v>14135.080410862956</v>
      </c>
      <c r="L68" s="49">
        <f t="shared" si="10"/>
        <v>19466.827208371069</v>
      </c>
      <c r="M68" s="49">
        <f t="shared" si="10"/>
        <v>26738.715937731205</v>
      </c>
      <c r="N68" s="49">
        <f t="shared" si="10"/>
        <v>37267.998367296954</v>
      </c>
    </row>
    <row r="69" spans="1:15" x14ac:dyDescent="0.2">
      <c r="C69" s="70" t="str">
        <f>"Taxes @ "&amp;TEXT(J38,"0.0%")</f>
        <v>Taxes @ 21.0%</v>
      </c>
      <c r="F69" s="69"/>
      <c r="G69" s="15" t="s">
        <v>27</v>
      </c>
      <c r="H69" s="19">
        <f t="shared" ref="H69:I69" si="11" xml:space="preserve"> - H68 * $J$38</f>
        <v>-1485.96</v>
      </c>
      <c r="I69" s="391">
        <f t="shared" si="11"/>
        <v>-914.55</v>
      </c>
      <c r="J69" s="49">
        <f t="shared" ref="J69:N69" si="12" xml:space="preserve"> - J68 * $J$38</f>
        <v>-2091.1868347860009</v>
      </c>
      <c r="K69" s="49">
        <f t="shared" si="12"/>
        <v>-2968.3668862812206</v>
      </c>
      <c r="L69" s="49">
        <f t="shared" si="12"/>
        <v>-4088.0337137579245</v>
      </c>
      <c r="M69" s="49">
        <f t="shared" si="12"/>
        <v>-5615.1303469235527</v>
      </c>
      <c r="N69" s="49">
        <f t="shared" si="12"/>
        <v>-7826.2796571323597</v>
      </c>
    </row>
    <row r="70" spans="1:15" x14ac:dyDescent="0.2">
      <c r="C70" s="71" t="s">
        <v>44</v>
      </c>
      <c r="G70" s="15" t="s">
        <v>27</v>
      </c>
      <c r="H70" s="19">
        <f t="shared" ref="H70:I70" si="13">SUM(H68:H69)</f>
        <v>5590.04</v>
      </c>
      <c r="I70" s="391">
        <f t="shared" si="13"/>
        <v>3440.45</v>
      </c>
      <c r="J70" s="72">
        <f t="shared" ref="J70:N70" si="14">SUM(J68:J69)</f>
        <v>7866.8457118140041</v>
      </c>
      <c r="K70" s="72">
        <f t="shared" si="14"/>
        <v>11166.713524581735</v>
      </c>
      <c r="L70" s="72">
        <f t="shared" si="14"/>
        <v>15378.793494613145</v>
      </c>
      <c r="M70" s="72">
        <f t="shared" si="14"/>
        <v>21123.585590807652</v>
      </c>
      <c r="N70" s="72">
        <f t="shared" si="14"/>
        <v>29441.718710164594</v>
      </c>
    </row>
    <row r="71" spans="1:15" x14ac:dyDescent="0.2">
      <c r="C71" s="73" t="s">
        <v>45</v>
      </c>
      <c r="F71" s="74"/>
      <c r="G71" s="15" t="s">
        <v>27</v>
      </c>
      <c r="H71" s="19">
        <f t="shared" ref="H71:I71" si="15">H28</f>
        <v>5368</v>
      </c>
      <c r="I71" s="391">
        <f t="shared" si="15"/>
        <v>6148</v>
      </c>
      <c r="J71" s="49">
        <f t="shared" ref="J71:N71" si="16">J28</f>
        <v>6036</v>
      </c>
      <c r="K71" s="49">
        <f t="shared" si="16"/>
        <v>8371</v>
      </c>
      <c r="L71" s="49">
        <f t="shared" si="16"/>
        <v>11085</v>
      </c>
      <c r="M71" s="49">
        <f t="shared" si="16"/>
        <v>13594</v>
      </c>
      <c r="N71" s="49">
        <f t="shared" si="16"/>
        <v>17068</v>
      </c>
    </row>
    <row r="72" spans="1:15" x14ac:dyDescent="0.2">
      <c r="C72" s="73" t="s">
        <v>222</v>
      </c>
      <c r="F72" s="74"/>
      <c r="G72" s="15"/>
      <c r="H72" s="19">
        <v>2703</v>
      </c>
      <c r="I72" s="17">
        <v>5570</v>
      </c>
      <c r="J72" s="49">
        <v>6513.7808000000132</v>
      </c>
      <c r="K72" s="49">
        <v>7543.9544621450659</v>
      </c>
      <c r="L72" s="49">
        <v>8731.7684238022957</v>
      </c>
      <c r="M72" s="49">
        <v>10137.169162988972</v>
      </c>
      <c r="N72" s="49">
        <v>12019.390956880619</v>
      </c>
    </row>
    <row r="73" spans="1:15" x14ac:dyDescent="0.2">
      <c r="C73" s="73" t="s">
        <v>46</v>
      </c>
      <c r="F73" s="69"/>
      <c r="G73" s="15" t="s">
        <v>27</v>
      </c>
      <c r="H73" s="19">
        <v>0</v>
      </c>
      <c r="I73" s="17">
        <f>I72-H72</f>
        <v>2867</v>
      </c>
      <c r="J73" s="154">
        <f t="shared" ref="J73:N73" si="17">J72-I72</f>
        <v>943.78080000001319</v>
      </c>
      <c r="K73" s="154">
        <f t="shared" si="17"/>
        <v>1030.1736621450527</v>
      </c>
      <c r="L73" s="154">
        <f t="shared" si="17"/>
        <v>1187.8139616572298</v>
      </c>
      <c r="M73" s="154">
        <f t="shared" si="17"/>
        <v>1405.4007391866762</v>
      </c>
      <c r="N73" s="154">
        <f t="shared" si="17"/>
        <v>1882.2217938916474</v>
      </c>
    </row>
    <row r="74" spans="1:15" x14ac:dyDescent="0.2">
      <c r="C74" s="73" t="s">
        <v>47</v>
      </c>
      <c r="F74" s="69"/>
      <c r="G74" s="15" t="s">
        <v>27</v>
      </c>
      <c r="H74" s="19">
        <v>-9949</v>
      </c>
      <c r="I74" s="17">
        <v>-11339</v>
      </c>
      <c r="J74" s="49">
        <f>J84*-J10</f>
        <v>-12804.960712592283</v>
      </c>
      <c r="K74" s="49">
        <f>K84*-K10</f>
        <v>-14888.327820531047</v>
      </c>
      <c r="L74" s="49">
        <f>L84*-L10</f>
        <v>-17363.363437416127</v>
      </c>
      <c r="M74" s="49">
        <f>M84*-M10</f>
        <v>-20681.50219030635</v>
      </c>
      <c r="N74" s="49">
        <f>N84*-N10</f>
        <v>-24031.905545135978</v>
      </c>
    </row>
    <row r="75" spans="1:15" ht="16" thickBot="1" x14ac:dyDescent="0.25">
      <c r="C75" s="75" t="s">
        <v>48</v>
      </c>
      <c r="D75" s="75"/>
      <c r="E75" s="75"/>
      <c r="F75" s="75"/>
      <c r="G75" s="46" t="s">
        <v>27</v>
      </c>
      <c r="H75" s="282">
        <f>H70+H71+H73+H74</f>
        <v>1009.0400000000009</v>
      </c>
      <c r="I75" s="254">
        <f t="shared" ref="I75:N75" si="18">I70+I71+I73+I74</f>
        <v>1116.4500000000007</v>
      </c>
      <c r="J75" s="389">
        <f>J70+J71+J73+J74</f>
        <v>2041.6657992217333</v>
      </c>
      <c r="K75" s="258">
        <f t="shared" si="18"/>
        <v>5679.5593661957409</v>
      </c>
      <c r="L75" s="259">
        <f t="shared" si="18"/>
        <v>10288.244018854246</v>
      </c>
      <c r="M75" s="259">
        <f t="shared" si="18"/>
        <v>15441.484139687975</v>
      </c>
      <c r="N75" s="259">
        <f t="shared" si="18"/>
        <v>24360.034958920263</v>
      </c>
      <c r="O75" s="260"/>
    </row>
    <row r="76" spans="1:15" ht="6.25" customHeight="1" thickTop="1" x14ac:dyDescent="0.2">
      <c r="C76" s="74"/>
      <c r="F76" s="74"/>
      <c r="H76" s="19"/>
      <c r="I76" s="17"/>
    </row>
    <row r="77" spans="1:15" x14ac:dyDescent="0.2">
      <c r="C77" s="74" t="s">
        <v>49</v>
      </c>
      <c r="F77" s="74"/>
      <c r="G77" s="15" t="s">
        <v>19</v>
      </c>
      <c r="H77" s="19"/>
      <c r="I77" s="17"/>
      <c r="J77" s="76">
        <f>$F$60</f>
        <v>0.11194502478528977</v>
      </c>
      <c r="K77" s="76">
        <f>$F$60</f>
        <v>0.11194502478528977</v>
      </c>
      <c r="L77" s="76">
        <f>$F$60</f>
        <v>0.11194502478528977</v>
      </c>
      <c r="M77" s="76">
        <f>$F$60</f>
        <v>0.11194502478528977</v>
      </c>
      <c r="N77" s="76">
        <f>$F$60</f>
        <v>0.11194502478528977</v>
      </c>
    </row>
    <row r="78" spans="1:15" x14ac:dyDescent="0.2">
      <c r="C78" s="74" t="s">
        <v>50</v>
      </c>
      <c r="F78" s="74"/>
      <c r="G78" s="15" t="s">
        <v>51</v>
      </c>
      <c r="H78" s="19"/>
      <c r="I78" s="17"/>
      <c r="J78" s="77">
        <v>1</v>
      </c>
      <c r="K78" s="77">
        <f>J78+1</f>
        <v>2</v>
      </c>
      <c r="L78" s="77">
        <f>K78+1</f>
        <v>3</v>
      </c>
      <c r="M78" s="77">
        <f>L78+1</f>
        <v>4</v>
      </c>
      <c r="N78" s="77">
        <f>M78+1</f>
        <v>5</v>
      </c>
    </row>
    <row r="79" spans="1:15" x14ac:dyDescent="0.2">
      <c r="C79" s="74" t="s">
        <v>52</v>
      </c>
      <c r="F79" s="74"/>
      <c r="G79" s="15" t="s">
        <v>51</v>
      </c>
      <c r="H79" s="19"/>
      <c r="I79" s="17"/>
      <c r="J79" s="273">
        <f>1/(1+J77)^J78</f>
        <v>0.89932503649907902</v>
      </c>
      <c r="K79" s="273">
        <f t="shared" ref="K79:N79" si="19">1/(1+K77)^K78</f>
        <v>0.80878552127406977</v>
      </c>
      <c r="L79" s="273">
        <f t="shared" si="19"/>
        <v>0.72736106843972947</v>
      </c>
      <c r="M79" s="273">
        <f t="shared" si="19"/>
        <v>0.65413401942256877</v>
      </c>
      <c r="N79" s="273">
        <f t="shared" si="19"/>
        <v>0.58827910089249091</v>
      </c>
    </row>
    <row r="80" spans="1:15" ht="6.25" customHeight="1" x14ac:dyDescent="0.2">
      <c r="C80" s="74"/>
      <c r="D80" s="74"/>
      <c r="E80" s="74"/>
      <c r="H80" s="19"/>
      <c r="I80" s="17"/>
    </row>
    <row r="81" spans="1:16" ht="16" thickBot="1" x14ac:dyDescent="0.25">
      <c r="C81" s="78" t="s">
        <v>53</v>
      </c>
      <c r="D81" s="79"/>
      <c r="E81" s="75"/>
      <c r="F81" s="75"/>
      <c r="G81" s="46" t="s">
        <v>27</v>
      </c>
      <c r="H81" s="182"/>
      <c r="I81" s="157"/>
      <c r="J81" s="275">
        <f>J75*J79</f>
        <v>1836.1211694040067</v>
      </c>
      <c r="K81" s="275">
        <f t="shared" ref="K81:N81" si="20">K75*K79</f>
        <v>4593.5453825956474</v>
      </c>
      <c r="L81" s="275">
        <f t="shared" si="20"/>
        <v>7483.2681619224804</v>
      </c>
      <c r="M81" s="275">
        <f t="shared" si="20"/>
        <v>10100.800086143941</v>
      </c>
      <c r="N81" s="275">
        <f t="shared" si="20"/>
        <v>14330.49946334326</v>
      </c>
    </row>
    <row r="82" spans="1:16" ht="16" thickTop="1" x14ac:dyDescent="0.2">
      <c r="C82" s="82"/>
      <c r="D82" s="74"/>
      <c r="E82" s="71"/>
      <c r="F82" s="71"/>
      <c r="G82" s="15"/>
      <c r="H82" s="19"/>
      <c r="I82" s="17"/>
      <c r="J82" s="150"/>
      <c r="K82" s="150"/>
      <c r="L82" s="150"/>
      <c r="M82" s="150"/>
      <c r="N82" s="150"/>
    </row>
    <row r="83" spans="1:16" customFormat="1" x14ac:dyDescent="0.2">
      <c r="A83" s="24"/>
      <c r="B83" s="1"/>
      <c r="C83" s="359" t="s">
        <v>107</v>
      </c>
      <c r="D83" s="34"/>
      <c r="E83" s="34"/>
      <c r="F83" s="34"/>
      <c r="G83" s="15" t="s">
        <v>4</v>
      </c>
      <c r="H83" s="19"/>
      <c r="I83" s="17"/>
      <c r="P83" s="1"/>
    </row>
    <row r="84" spans="1:16" s="151" customFormat="1" x14ac:dyDescent="0.2">
      <c r="A84" s="146"/>
      <c r="C84" s="147" t="s">
        <v>105</v>
      </c>
      <c r="E84" s="151" t="s">
        <v>106</v>
      </c>
      <c r="F84" s="148" t="s">
        <v>106</v>
      </c>
      <c r="G84" s="149" t="s">
        <v>19</v>
      </c>
      <c r="H84" s="181">
        <v>9.1947134014652848E-2</v>
      </c>
      <c r="I84" s="153">
        <v>0.11607124577745931</v>
      </c>
      <c r="J84" s="152">
        <f>I84</f>
        <v>0.11607124577745931</v>
      </c>
      <c r="K84" s="152">
        <f>J84</f>
        <v>0.11607124577745931</v>
      </c>
      <c r="L84" s="152">
        <f>K84</f>
        <v>0.11607124577745931</v>
      </c>
      <c r="M84" s="152">
        <f>L84</f>
        <v>0.11607124577745931</v>
      </c>
      <c r="N84" s="152">
        <f>M84</f>
        <v>0.11607124577745931</v>
      </c>
    </row>
    <row r="85" spans="1:16" s="151" customFormat="1" x14ac:dyDescent="0.2">
      <c r="A85" s="146"/>
      <c r="C85" s="147" t="s">
        <v>26</v>
      </c>
      <c r="F85" s="148"/>
      <c r="G85" s="149"/>
      <c r="H85" s="19">
        <v>12017</v>
      </c>
      <c r="I85" s="17">
        <v>13626</v>
      </c>
      <c r="J85" s="156">
        <f>J86*J11</f>
        <v>15356.932913759218</v>
      </c>
      <c r="K85" s="156">
        <f>K86*K11</f>
        <v>17475.763715223471</v>
      </c>
      <c r="L85" s="156">
        <f>L86*L11</f>
        <v>19938.064151035458</v>
      </c>
      <c r="M85" s="156">
        <f>M86*M11</f>
        <v>23220.725128915667</v>
      </c>
      <c r="N85" s="156">
        <f>N86*N11</f>
        <v>26369.524019233337</v>
      </c>
    </row>
    <row r="86" spans="1:16" s="151" customFormat="1" x14ac:dyDescent="0.2">
      <c r="A86" s="146"/>
      <c r="C86" s="147" t="s">
        <v>112</v>
      </c>
      <c r="F86" s="148"/>
      <c r="G86" s="149"/>
      <c r="H86" s="181">
        <v>0.1518966541529205</v>
      </c>
      <c r="I86" s="153">
        <v>0.16981555333998</v>
      </c>
      <c r="J86" s="152">
        <f>I86</f>
        <v>0.16981555333998</v>
      </c>
      <c r="K86" s="152">
        <f>J86</f>
        <v>0.16981555333998</v>
      </c>
      <c r="L86" s="152">
        <f>K86</f>
        <v>0.16981555333998</v>
      </c>
      <c r="M86" s="152">
        <f>L86</f>
        <v>0.16981555333998</v>
      </c>
      <c r="N86" s="152">
        <f>M86</f>
        <v>0.16981555333998</v>
      </c>
    </row>
    <row r="87" spans="1:16" x14ac:dyDescent="0.2">
      <c r="C87" s="147" t="s">
        <v>108</v>
      </c>
      <c r="D87" s="74"/>
      <c r="E87" s="71"/>
      <c r="F87" s="71"/>
      <c r="G87" s="15"/>
      <c r="H87" s="19">
        <v>3508</v>
      </c>
      <c r="I87" s="17">
        <v>4418</v>
      </c>
      <c r="J87" s="154">
        <f>J88*J10</f>
        <v>4989.1803887673286</v>
      </c>
      <c r="K87" s="154">
        <f>K88*K10</f>
        <v>5800.9200380197735</v>
      </c>
      <c r="L87" s="154">
        <f>L88*L10</f>
        <v>6765.2649851401802</v>
      </c>
      <c r="M87" s="154">
        <f>M88*M10</f>
        <v>8058.1071238004688</v>
      </c>
      <c r="N87" s="154">
        <f>N88*N10</f>
        <v>9363.5204778561438</v>
      </c>
    </row>
    <row r="88" spans="1:16" x14ac:dyDescent="0.2">
      <c r="C88" s="147" t="s">
        <v>110</v>
      </c>
      <c r="D88" s="74"/>
      <c r="E88" s="71"/>
      <c r="F88" s="71"/>
      <c r="G88" s="15"/>
      <c r="H88" s="181">
        <v>3.6249780413958439E-2</v>
      </c>
      <c r="I88" s="153">
        <v>4.5224690347016101E-2</v>
      </c>
      <c r="J88" s="155">
        <f>I88</f>
        <v>4.5224690347016101E-2</v>
      </c>
      <c r="K88" s="155">
        <f t="shared" ref="K88:N90" si="21">J88</f>
        <v>4.5224690347016101E-2</v>
      </c>
      <c r="L88" s="155">
        <f t="shared" si="21"/>
        <v>4.5224690347016101E-2</v>
      </c>
      <c r="M88" s="155">
        <f t="shared" si="21"/>
        <v>4.5224690347016101E-2</v>
      </c>
      <c r="N88" s="155">
        <f t="shared" si="21"/>
        <v>4.5224690347016101E-2</v>
      </c>
    </row>
    <row r="89" spans="1:16" x14ac:dyDescent="0.2">
      <c r="C89" s="147" t="s">
        <v>109</v>
      </c>
      <c r="D89" s="74"/>
      <c r="E89" s="71"/>
      <c r="F89" s="71"/>
      <c r="G89" s="15"/>
      <c r="H89" s="19">
        <v>-14431</v>
      </c>
      <c r="I89" s="17">
        <v>-12474</v>
      </c>
      <c r="J89" s="154">
        <f>J90*-J11</f>
        <v>-14058.592482477055</v>
      </c>
      <c r="K89" s="154">
        <f>K90*-K11</f>
        <v>-15998.288315257409</v>
      </c>
      <c r="L89" s="154">
        <f>L90*-L11</f>
        <v>-18252.415398504047</v>
      </c>
      <c r="M89" s="154">
        <f>M90*-M11</f>
        <v>-21257.546254079982</v>
      </c>
      <c r="N89" s="154">
        <f>N90*-N11</f>
        <v>-24140.132292376078</v>
      </c>
    </row>
    <row r="90" spans="1:16" x14ac:dyDescent="0.2">
      <c r="C90" s="147" t="s">
        <v>111</v>
      </c>
      <c r="D90" s="74"/>
      <c r="E90" s="71"/>
      <c r="F90" s="71"/>
      <c r="G90" s="15"/>
      <c r="H90" s="181">
        <v>0.18240997054845601</v>
      </c>
      <c r="I90" s="153">
        <v>0.15545862412761699</v>
      </c>
      <c r="J90" s="155">
        <f>I90</f>
        <v>0.15545862412761699</v>
      </c>
      <c r="K90" s="155">
        <f t="shared" si="21"/>
        <v>0.15545862412761699</v>
      </c>
      <c r="L90" s="155">
        <f t="shared" si="21"/>
        <v>0.15545862412761699</v>
      </c>
      <c r="M90" s="155">
        <f t="shared" si="21"/>
        <v>0.15545862412761699</v>
      </c>
      <c r="N90" s="155">
        <f t="shared" si="21"/>
        <v>0.15545862412761699</v>
      </c>
    </row>
    <row r="91" spans="1:16" x14ac:dyDescent="0.2">
      <c r="C91" s="74"/>
      <c r="D91" s="74"/>
      <c r="E91" s="74"/>
    </row>
    <row r="92" spans="1:16" x14ac:dyDescent="0.2">
      <c r="C92" s="80" t="s">
        <v>54</v>
      </c>
      <c r="D92" s="81"/>
      <c r="E92" s="81"/>
      <c r="I92" s="82" t="s">
        <v>55</v>
      </c>
    </row>
    <row r="93" spans="1:16" x14ac:dyDescent="0.2">
      <c r="C93" s="74"/>
      <c r="D93" s="74"/>
      <c r="E93" s="74"/>
      <c r="I93" s="83" t="str">
        <f>"FY"&amp;TEXT(N66,"0")&amp;"E Unlevered Free Cash Flow"</f>
        <v>FY2030E Unlevered Free Cash Flow</v>
      </c>
      <c r="J93" s="84"/>
      <c r="K93" s="84"/>
      <c r="L93" s="29">
        <f>N75</f>
        <v>24360.034958920263</v>
      </c>
    </row>
    <row r="94" spans="1:16" x14ac:dyDescent="0.2">
      <c r="C94" s="69" t="str">
        <f>"NPV of UFCF "&amp;TEXT(J66,"0")&amp;" - "&amp;TEXT(N66,"0")</f>
        <v>NPV of UFCF 2026 - 2030</v>
      </c>
      <c r="D94" s="74"/>
      <c r="E94" s="386">
        <f>SUM(J81:N81)</f>
        <v>38344.234263409337</v>
      </c>
      <c r="I94" s="85" t="s">
        <v>56</v>
      </c>
      <c r="J94" s="86"/>
      <c r="K94" s="86"/>
      <c r="L94" s="181">
        <v>0.03</v>
      </c>
    </row>
    <row r="95" spans="1:16" x14ac:dyDescent="0.2">
      <c r="C95" s="69" t="s">
        <v>57</v>
      </c>
      <c r="D95" s="74"/>
      <c r="E95" s="386">
        <f>L95*N79</f>
        <v>180125.81588593588</v>
      </c>
      <c r="I95" s="85" t="s">
        <v>58</v>
      </c>
      <c r="J95" s="86"/>
      <c r="K95" s="86"/>
      <c r="L95" s="29">
        <f>(L93 * (1 + L94)) / (F60 - L94)</f>
        <v>306191.08449146524</v>
      </c>
    </row>
    <row r="96" spans="1:16" x14ac:dyDescent="0.2">
      <c r="C96" s="87" t="s">
        <v>59</v>
      </c>
      <c r="D96" s="88"/>
      <c r="E96" s="387">
        <f>SUM(E94:E95)</f>
        <v>218470.05014934522</v>
      </c>
      <c r="I96" s="85" t="s">
        <v>60</v>
      </c>
      <c r="J96" s="86"/>
      <c r="K96" s="86"/>
      <c r="L96" s="89">
        <f>IFERROR(E95/(N29*N79),0)</f>
        <v>5.6351423309036237</v>
      </c>
    </row>
    <row r="97" spans="1:22" ht="15" customHeight="1" x14ac:dyDescent="0.2">
      <c r="C97" s="1" t="s">
        <v>61</v>
      </c>
      <c r="E97" s="154">
        <f>-E56</f>
        <v>-6736</v>
      </c>
    </row>
    <row r="98" spans="1:22" x14ac:dyDescent="0.2">
      <c r="C98" s="1" t="s">
        <v>62</v>
      </c>
      <c r="E98" s="19">
        <v>16153</v>
      </c>
      <c r="G98" s="327" t="s">
        <v>63</v>
      </c>
      <c r="H98" s="327"/>
      <c r="I98" s="327"/>
      <c r="J98" s="327"/>
      <c r="K98" s="327"/>
      <c r="L98" s="327"/>
      <c r="M98" s="327"/>
      <c r="N98" s="90"/>
      <c r="P98" s="91" t="s">
        <v>64</v>
      </c>
    </row>
    <row r="99" spans="1:22" x14ac:dyDescent="0.2">
      <c r="C99" s="1" t="s">
        <v>138</v>
      </c>
      <c r="E99" s="19">
        <v>27546</v>
      </c>
      <c r="G99" s="328"/>
      <c r="H99" s="329"/>
      <c r="I99" s="330" t="s">
        <v>65</v>
      </c>
      <c r="J99" s="330"/>
      <c r="K99" s="331"/>
      <c r="L99" s="330"/>
      <c r="M99" s="330"/>
      <c r="N99" s="90"/>
      <c r="O99" s="92" t="s">
        <v>66</v>
      </c>
      <c r="P99" s="93">
        <v>2.5000000000000001E-3</v>
      </c>
    </row>
    <row r="100" spans="1:22" x14ac:dyDescent="0.2">
      <c r="C100" s="94" t="s">
        <v>67</v>
      </c>
      <c r="D100" s="27"/>
      <c r="E100" s="276">
        <f>SUM(E96:E99)</f>
        <v>255433.05014934522</v>
      </c>
      <c r="G100" s="328"/>
      <c r="H100" s="273">
        <f>E102</f>
        <v>79.327034207871179</v>
      </c>
      <c r="I100" s="265">
        <f>J100-$P$99</f>
        <v>2.5000000000000001E-2</v>
      </c>
      <c r="J100" s="266">
        <f>K100-$P$99</f>
        <v>2.75E-2</v>
      </c>
      <c r="K100" s="278">
        <v>0.03</v>
      </c>
      <c r="L100" s="266">
        <f>K100+$P$99</f>
        <v>3.2500000000000001E-2</v>
      </c>
      <c r="M100" s="266">
        <f>L100+$P$99</f>
        <v>3.5000000000000003E-2</v>
      </c>
      <c r="N100" s="90"/>
      <c r="P100" s="91"/>
    </row>
    <row r="101" spans="1:22" ht="14.5" customHeight="1" x14ac:dyDescent="0.2">
      <c r="C101" s="1" t="s">
        <v>68</v>
      </c>
      <c r="E101" s="261">
        <v>3220</v>
      </c>
      <c r="G101" s="433" t="s">
        <v>69</v>
      </c>
      <c r="H101" s="263">
        <f>H102-$P$101</f>
        <v>0.10694502478528976</v>
      </c>
      <c r="I101" s="267"/>
      <c r="J101" s="267"/>
      <c r="K101" s="267"/>
      <c r="L101" s="267"/>
      <c r="M101" s="267"/>
      <c r="N101" s="90"/>
      <c r="O101" s="92" t="s">
        <v>69</v>
      </c>
      <c r="P101" s="93">
        <v>2.5000000000000001E-3</v>
      </c>
    </row>
    <row r="102" spans="1:22" x14ac:dyDescent="0.2">
      <c r="C102" s="94" t="s">
        <v>63</v>
      </c>
      <c r="D102" s="27"/>
      <c r="E102" s="277">
        <f>E100/E101</f>
        <v>79.327034207871179</v>
      </c>
      <c r="G102" s="433"/>
      <c r="H102" s="264">
        <f>H103-$P$101</f>
        <v>0.10944502478528977</v>
      </c>
      <c r="I102" s="267"/>
      <c r="J102" s="268"/>
      <c r="K102" s="268"/>
      <c r="L102" s="268"/>
      <c r="M102" s="267"/>
      <c r="N102" s="90"/>
      <c r="O102" s="90"/>
      <c r="P102" s="90"/>
    </row>
    <row r="103" spans="1:22" x14ac:dyDescent="0.2">
      <c r="G103" s="434"/>
      <c r="H103" s="279">
        <f>'Simple Operating Model'!F60</f>
        <v>0.11194502478528977</v>
      </c>
      <c r="I103" s="267"/>
      <c r="J103" s="268"/>
      <c r="K103" s="268"/>
      <c r="L103" s="268"/>
      <c r="M103" s="267"/>
      <c r="N103" s="90"/>
      <c r="O103" s="102"/>
      <c r="P103" s="90"/>
      <c r="S103" s="383"/>
      <c r="T103" s="216"/>
      <c r="U103" s="216"/>
      <c r="V103" s="216"/>
    </row>
    <row r="104" spans="1:22" x14ac:dyDescent="0.2">
      <c r="G104" s="433"/>
      <c r="H104" s="264">
        <f>H103+$P$101</f>
        <v>0.11444502478528977</v>
      </c>
      <c r="I104" s="267"/>
      <c r="J104" s="268"/>
      <c r="K104" s="268"/>
      <c r="L104" s="268"/>
      <c r="M104" s="267"/>
      <c r="N104" s="90"/>
      <c r="O104" s="90"/>
      <c r="P104" s="90"/>
    </row>
    <row r="105" spans="1:22" x14ac:dyDescent="0.2">
      <c r="C105" s="158"/>
      <c r="G105" s="433"/>
      <c r="H105" s="264">
        <f>H104+$P$101</f>
        <v>0.11694502478528977</v>
      </c>
      <c r="I105" s="267"/>
      <c r="J105" s="267"/>
      <c r="K105" s="267"/>
      <c r="L105" s="267"/>
      <c r="M105" s="267"/>
      <c r="N105" s="90"/>
      <c r="O105" s="90"/>
      <c r="P105" s="90"/>
    </row>
    <row r="106" spans="1:22" x14ac:dyDescent="0.2">
      <c r="C106" s="68" t="s">
        <v>113</v>
      </c>
      <c r="H106" s="90"/>
      <c r="I106" s="90"/>
      <c r="J106" s="90"/>
      <c r="K106" s="90"/>
      <c r="L106" s="90"/>
      <c r="M106" s="90"/>
    </row>
    <row r="107" spans="1:22" ht="13.5" customHeight="1" x14ac:dyDescent="0.2">
      <c r="H107" s="90"/>
      <c r="I107" s="90"/>
      <c r="J107" s="90"/>
      <c r="K107" s="90"/>
      <c r="L107" s="90"/>
      <c r="M107" s="90"/>
    </row>
    <row r="109" spans="1:22" s="311" customFormat="1" ht="18" thickBot="1" x14ac:dyDescent="0.25">
      <c r="A109" s="312" t="s">
        <v>28</v>
      </c>
      <c r="B109" s="313"/>
      <c r="C109" s="314" t="s">
        <v>115</v>
      </c>
      <c r="D109" s="308"/>
      <c r="E109" s="309"/>
      <c r="F109" s="310"/>
    </row>
    <row r="111" spans="1:22" x14ac:dyDescent="0.2">
      <c r="A111" s="1"/>
      <c r="B111" s="24"/>
      <c r="D111" s="332" t="s">
        <v>70</v>
      </c>
      <c r="E111" s="333"/>
      <c r="F111" s="333"/>
      <c r="G111" s="333"/>
      <c r="I111" s="332" t="s">
        <v>71</v>
      </c>
      <c r="J111" s="333"/>
      <c r="K111" s="333"/>
      <c r="M111" s="332" t="s">
        <v>70</v>
      </c>
      <c r="N111" s="333"/>
      <c r="O111" s="333"/>
      <c r="P111" s="333"/>
    </row>
    <row r="112" spans="1:22" ht="15" customHeight="1" x14ac:dyDescent="0.2">
      <c r="A112" s="1"/>
      <c r="B112" s="24"/>
      <c r="D112" s="13" t="s">
        <v>239</v>
      </c>
      <c r="I112" s="103"/>
      <c r="J112" s="334" t="s">
        <v>83</v>
      </c>
      <c r="K112" s="335" t="s">
        <v>148</v>
      </c>
      <c r="M112" s="13" t="s">
        <v>244</v>
      </c>
    </row>
    <row r="113" spans="1:22" ht="6.25" customHeight="1" x14ac:dyDescent="0.2">
      <c r="A113" s="1"/>
      <c r="B113" s="24"/>
      <c r="D113" s="58"/>
      <c r="E113" s="104"/>
      <c r="F113" s="104"/>
      <c r="G113" s="104"/>
      <c r="H113" s="104"/>
      <c r="I113" s="104"/>
      <c r="M113" s="58"/>
      <c r="N113" s="104"/>
      <c r="O113" s="104"/>
      <c r="P113" s="104"/>
    </row>
    <row r="114" spans="1:22" ht="15" customHeight="1" x14ac:dyDescent="0.2">
      <c r="A114" s="1"/>
      <c r="B114" s="24"/>
      <c r="D114" s="58" t="s">
        <v>72</v>
      </c>
      <c r="G114" s="289">
        <v>372.7</v>
      </c>
      <c r="H114" s="104"/>
      <c r="I114" s="104" t="s">
        <v>5</v>
      </c>
      <c r="J114" s="168">
        <f>I10</f>
        <v>94827</v>
      </c>
      <c r="K114" s="168">
        <f>J10</f>
        <v>110319.83526000001</v>
      </c>
      <c r="M114" s="1" t="s">
        <v>119</v>
      </c>
      <c r="N114" s="281">
        <f>MAX('52 weeks share price data'!$D$5:$D$256)*$G$115+$G$117-SUM($G$118:$G$119)</f>
        <v>1801278.3803219199</v>
      </c>
      <c r="O114" s="1" t="s">
        <v>130</v>
      </c>
    </row>
    <row r="115" spans="1:22" ht="15" customHeight="1" x14ac:dyDescent="0.2">
      <c r="A115" s="1"/>
      <c r="B115" s="24"/>
      <c r="D115" s="58" t="s">
        <v>73</v>
      </c>
      <c r="G115" s="392">
        <f>3752431984/1000000</f>
        <v>3752.4319839999998</v>
      </c>
      <c r="H115" s="104"/>
      <c r="I115" s="104" t="s">
        <v>15</v>
      </c>
      <c r="J115" s="168">
        <f>I29</f>
        <v>10503</v>
      </c>
      <c r="K115" s="168">
        <f>J29</f>
        <v>15994.032546600005</v>
      </c>
      <c r="M115" s="1" t="s">
        <v>120</v>
      </c>
      <c r="N115" s="281">
        <f>MIN('52 weeks share price data'!$D$5:$D$256)*$G$115+$G$117-SUM($G$118:$G$119)</f>
        <v>996269.14679440006</v>
      </c>
      <c r="O115" s="1" t="s">
        <v>131</v>
      </c>
    </row>
    <row r="116" spans="1:22" ht="15" customHeight="1" x14ac:dyDescent="0.2">
      <c r="A116" s="1"/>
      <c r="B116" s="24"/>
      <c r="D116" s="58" t="s">
        <v>74</v>
      </c>
      <c r="E116" s="58"/>
      <c r="F116" s="58"/>
      <c r="G116" s="105">
        <f>G114 * G115</f>
        <v>1398531.4004368</v>
      </c>
      <c r="H116" s="104"/>
      <c r="I116" s="92" t="s">
        <v>242</v>
      </c>
      <c r="J116" s="169">
        <f>$G$120/J114</f>
        <v>14.358446438638785</v>
      </c>
      <c r="K116" s="169">
        <f>$G$120/K114</f>
        <v>12.342009007064574</v>
      </c>
    </row>
    <row r="117" spans="1:22" ht="15" customHeight="1" x14ac:dyDescent="0.2">
      <c r="A117" s="1"/>
      <c r="B117" s="24"/>
      <c r="D117" s="58" t="s">
        <v>75</v>
      </c>
      <c r="E117" s="58"/>
      <c r="F117" s="58"/>
      <c r="G117" s="106">
        <f>-E97</f>
        <v>6736</v>
      </c>
      <c r="H117" s="104"/>
      <c r="I117" s="104" t="s">
        <v>243</v>
      </c>
      <c r="J117" s="169">
        <f>$G$120/J115</f>
        <v>129.63614209623915</v>
      </c>
      <c r="K117" s="169">
        <f>$G$120/K115</f>
        <v>85.129775525324959</v>
      </c>
    </row>
    <row r="118" spans="1:22" ht="15" customHeight="1" x14ac:dyDescent="0.2">
      <c r="A118" s="1"/>
      <c r="B118" s="24"/>
      <c r="D118" s="58" t="s">
        <v>76</v>
      </c>
      <c r="E118" s="58"/>
      <c r="F118" s="58"/>
      <c r="G118" s="106">
        <f>E98</f>
        <v>16153</v>
      </c>
      <c r="H118" s="104"/>
      <c r="I118" s="114" t="s">
        <v>268</v>
      </c>
      <c r="J118" s="104"/>
      <c r="K118" s="104"/>
    </row>
    <row r="119" spans="1:22" ht="15.75" customHeight="1" x14ac:dyDescent="0.2">
      <c r="A119" s="1"/>
      <c r="B119" s="24"/>
      <c r="D119" s="58" t="s">
        <v>117</v>
      </c>
      <c r="E119" s="58"/>
      <c r="F119" s="58"/>
      <c r="G119" s="106">
        <f>E99</f>
        <v>27546</v>
      </c>
      <c r="H119" s="104"/>
      <c r="I119" s="104"/>
      <c r="J119" s="104"/>
      <c r="K119" s="104"/>
    </row>
    <row r="120" spans="1:22" x14ac:dyDescent="0.2">
      <c r="A120" s="1"/>
      <c r="B120" s="24"/>
      <c r="D120" s="107" t="s">
        <v>70</v>
      </c>
      <c r="E120" s="107"/>
      <c r="F120" s="107"/>
      <c r="G120" s="280">
        <f>G116+G117-SUM(G118:G119)</f>
        <v>1361568.4004368</v>
      </c>
      <c r="H120" s="104"/>
      <c r="I120" s="104"/>
      <c r="J120" s="104"/>
      <c r="K120" s="104"/>
    </row>
    <row r="121" spans="1:22" x14ac:dyDescent="0.2">
      <c r="B121" s="1" t="s">
        <v>106</v>
      </c>
    </row>
    <row r="123" spans="1:22" s="311" customFormat="1" ht="18" thickBot="1" x14ac:dyDescent="0.25">
      <c r="A123" s="312" t="s">
        <v>100</v>
      </c>
      <c r="B123" s="313"/>
      <c r="C123" s="314" t="s">
        <v>114</v>
      </c>
      <c r="D123" s="308"/>
      <c r="E123" s="309"/>
      <c r="F123" s="310"/>
    </row>
    <row r="125" spans="1:22" x14ac:dyDescent="0.2">
      <c r="A125" s="1"/>
      <c r="B125" s="24"/>
      <c r="D125" s="336"/>
      <c r="E125" s="336"/>
      <c r="F125" s="336"/>
      <c r="G125" s="336"/>
      <c r="H125" s="336"/>
      <c r="I125" s="336" t="s">
        <v>77</v>
      </c>
      <c r="J125" s="336" t="s">
        <v>78</v>
      </c>
      <c r="K125" s="337" t="s">
        <v>79</v>
      </c>
      <c r="L125" s="337"/>
      <c r="M125" s="338" t="s">
        <v>80</v>
      </c>
      <c r="N125" s="339"/>
    </row>
    <row r="126" spans="1:22" ht="16" thickBot="1" x14ac:dyDescent="0.25">
      <c r="A126" s="1"/>
      <c r="B126" s="24"/>
      <c r="D126" s="340" t="s">
        <v>81</v>
      </c>
      <c r="E126" s="341"/>
      <c r="F126" s="341"/>
      <c r="G126" s="341"/>
      <c r="H126" s="341"/>
      <c r="I126" s="341" t="s">
        <v>82</v>
      </c>
      <c r="J126" s="341" t="s">
        <v>82</v>
      </c>
      <c r="K126" s="342" t="s">
        <v>83</v>
      </c>
      <c r="L126" s="343" t="s">
        <v>148</v>
      </c>
      <c r="M126" s="342" t="s">
        <v>83</v>
      </c>
      <c r="N126" s="343" t="s">
        <v>148</v>
      </c>
    </row>
    <row r="127" spans="1:22" ht="15" customHeight="1" x14ac:dyDescent="0.2">
      <c r="A127" s="1"/>
      <c r="B127" s="24"/>
      <c r="D127" s="234" t="s">
        <v>139</v>
      </c>
      <c r="E127" s="235"/>
      <c r="F127" s="235"/>
      <c r="G127" s="236"/>
      <c r="H127" s="236"/>
      <c r="I127" s="290">
        <v>112346</v>
      </c>
      <c r="J127" s="291">
        <v>106838</v>
      </c>
      <c r="K127" s="240">
        <v>0.92</v>
      </c>
      <c r="L127" s="241">
        <v>0.72</v>
      </c>
      <c r="M127" s="238">
        <v>6.61</v>
      </c>
      <c r="N127" s="237">
        <v>5.05</v>
      </c>
      <c r="R127" s="171"/>
      <c r="S127" s="421" t="s">
        <v>212</v>
      </c>
      <c r="T127" s="422"/>
      <c r="U127" s="422"/>
      <c r="V127" s="423"/>
    </row>
    <row r="128" spans="1:22" x14ac:dyDescent="0.2">
      <c r="A128" s="1"/>
      <c r="B128" s="24"/>
      <c r="D128" s="184" t="s">
        <v>140</v>
      </c>
      <c r="E128" s="108"/>
      <c r="F128" s="108"/>
      <c r="G128" s="109"/>
      <c r="H128" s="109"/>
      <c r="I128" s="292">
        <v>18688</v>
      </c>
      <c r="J128" s="293">
        <v>21408</v>
      </c>
      <c r="K128" s="110">
        <v>3.05</v>
      </c>
      <c r="L128" s="239">
        <v>2.0699999999999998</v>
      </c>
      <c r="M128" s="111" t="s">
        <v>149</v>
      </c>
      <c r="N128" s="170" t="s">
        <v>149</v>
      </c>
      <c r="R128" s="171"/>
      <c r="S128" s="424"/>
      <c r="T128" s="425"/>
      <c r="U128" s="425"/>
      <c r="V128" s="426"/>
    </row>
    <row r="129" spans="1:22" x14ac:dyDescent="0.2">
      <c r="A129" s="1"/>
      <c r="B129" s="24"/>
      <c r="D129" s="184" t="s">
        <v>141</v>
      </c>
      <c r="E129" s="108"/>
      <c r="F129" s="108"/>
      <c r="G129" s="109"/>
      <c r="H129" s="109"/>
      <c r="I129" s="292">
        <v>68662</v>
      </c>
      <c r="J129" s="294">
        <v>61217</v>
      </c>
      <c r="K129" s="110">
        <v>0.33</v>
      </c>
      <c r="L129" s="239">
        <v>0.28999999999999998</v>
      </c>
      <c r="M129" s="111">
        <v>2.64</v>
      </c>
      <c r="N129" s="170">
        <v>2.2799999999999998</v>
      </c>
      <c r="R129" s="171"/>
      <c r="S129" s="424"/>
      <c r="T129" s="425"/>
      <c r="U129" s="425"/>
      <c r="V129" s="426"/>
    </row>
    <row r="130" spans="1:22" x14ac:dyDescent="0.2">
      <c r="A130" s="1"/>
      <c r="B130" s="24"/>
      <c r="D130" s="184" t="s">
        <v>142</v>
      </c>
      <c r="E130" s="108"/>
      <c r="F130" s="108"/>
      <c r="G130" s="109"/>
      <c r="H130" s="109"/>
      <c r="I130" s="292">
        <v>50673</v>
      </c>
      <c r="J130" s="293">
        <v>8100</v>
      </c>
      <c r="K130" s="110">
        <v>0.02</v>
      </c>
      <c r="L130" s="239">
        <v>0.01</v>
      </c>
      <c r="M130" s="111">
        <v>0.17</v>
      </c>
      <c r="N130" s="170">
        <v>0.09</v>
      </c>
      <c r="R130" s="171"/>
      <c r="S130" s="424"/>
      <c r="T130" s="425"/>
      <c r="U130" s="425"/>
      <c r="V130" s="426"/>
    </row>
    <row r="131" spans="1:22" x14ac:dyDescent="0.2">
      <c r="A131" s="1"/>
      <c r="B131" s="24"/>
      <c r="D131" s="1" t="s">
        <v>147</v>
      </c>
      <c r="E131" s="108"/>
      <c r="F131" s="108"/>
      <c r="G131" s="109"/>
      <c r="H131" s="109"/>
      <c r="I131" s="292">
        <v>4560193</v>
      </c>
      <c r="J131" s="293">
        <v>4506105</v>
      </c>
      <c r="K131" s="110">
        <v>12.4</v>
      </c>
      <c r="L131" s="239">
        <v>9.09</v>
      </c>
      <c r="M131" s="111">
        <v>18.3</v>
      </c>
      <c r="N131" s="170">
        <v>13.5</v>
      </c>
      <c r="R131" s="171"/>
      <c r="S131" s="424"/>
      <c r="T131" s="425"/>
      <c r="U131" s="425"/>
      <c r="V131" s="426"/>
    </row>
    <row r="132" spans="1:22" ht="16" thickBot="1" x14ac:dyDescent="0.25">
      <c r="A132" s="1"/>
      <c r="B132" s="24"/>
      <c r="D132" s="184" t="s">
        <v>143</v>
      </c>
      <c r="E132" s="108"/>
      <c r="F132" s="108"/>
      <c r="G132" s="109"/>
      <c r="H132" s="109"/>
      <c r="I132" s="295">
        <v>103.6</v>
      </c>
      <c r="J132" s="294">
        <v>103.6</v>
      </c>
      <c r="K132" s="110">
        <v>0.97</v>
      </c>
      <c r="L132" s="239">
        <v>0.81</v>
      </c>
      <c r="M132" s="111" t="s">
        <v>149</v>
      </c>
      <c r="N132" s="170" t="s">
        <v>149</v>
      </c>
      <c r="R132" s="171"/>
      <c r="S132" s="427"/>
      <c r="T132" s="428"/>
      <c r="U132" s="428"/>
      <c r="V132" s="429"/>
    </row>
    <row r="133" spans="1:22" x14ac:dyDescent="0.2">
      <c r="A133" s="1"/>
      <c r="B133" s="24"/>
      <c r="D133" s="184" t="s">
        <v>144</v>
      </c>
      <c r="E133" s="108"/>
      <c r="F133" s="108"/>
      <c r="G133" s="109"/>
      <c r="H133" s="109"/>
      <c r="I133" s="292">
        <v>2271</v>
      </c>
      <c r="J133" s="293">
        <v>4379</v>
      </c>
      <c r="K133" s="110">
        <v>2.4500000000000002</v>
      </c>
      <c r="L133" s="239">
        <v>1.06</v>
      </c>
      <c r="M133" s="111" t="s">
        <v>149</v>
      </c>
      <c r="N133" s="170" t="s">
        <v>149</v>
      </c>
      <c r="R133" s="171"/>
      <c r="S133" s="171"/>
    </row>
    <row r="134" spans="1:22" x14ac:dyDescent="0.2">
      <c r="A134" s="1"/>
      <c r="B134" s="24"/>
      <c r="D134" s="184" t="s">
        <v>146</v>
      </c>
      <c r="E134" s="108"/>
      <c r="F134" s="108"/>
      <c r="G134" s="109"/>
      <c r="H134" s="109"/>
      <c r="I134" s="292">
        <v>4683434</v>
      </c>
      <c r="J134" s="293">
        <v>4629571</v>
      </c>
      <c r="K134" s="110">
        <v>9.52</v>
      </c>
      <c r="L134" s="239">
        <v>8.0500000000000007</v>
      </c>
      <c r="M134" s="111">
        <v>20.399999999999999</v>
      </c>
      <c r="N134" s="170">
        <v>16.5</v>
      </c>
      <c r="R134" s="171"/>
      <c r="S134" s="171"/>
    </row>
    <row r="135" spans="1:22" x14ac:dyDescent="0.2">
      <c r="A135" s="1"/>
      <c r="B135" s="24"/>
      <c r="D135" s="184" t="s">
        <v>145</v>
      </c>
      <c r="E135" s="108"/>
      <c r="F135" s="108"/>
      <c r="G135" s="109"/>
      <c r="H135" s="109"/>
      <c r="I135" s="292">
        <v>1535645</v>
      </c>
      <c r="J135" s="294">
        <v>1535756</v>
      </c>
      <c r="K135" s="110">
        <v>6.07</v>
      </c>
      <c r="L135" s="239">
        <v>5.0999999999999996</v>
      </c>
      <c r="M135" s="111">
        <v>10.6</v>
      </c>
      <c r="N135" s="170">
        <v>8.68</v>
      </c>
      <c r="R135" s="171"/>
      <c r="S135" s="171"/>
    </row>
    <row r="136" spans="1:22" x14ac:dyDescent="0.2">
      <c r="A136" s="1"/>
      <c r="B136" s="24"/>
      <c r="E136" s="58"/>
      <c r="F136" s="58"/>
      <c r="G136" s="104"/>
      <c r="H136" s="104"/>
      <c r="I136" s="248"/>
      <c r="J136" s="248"/>
      <c r="K136" s="249"/>
      <c r="L136" s="250"/>
      <c r="M136" s="251"/>
      <c r="N136" s="252"/>
      <c r="R136" s="171"/>
      <c r="S136" s="171"/>
    </row>
    <row r="137" spans="1:22" x14ac:dyDescent="0.2">
      <c r="A137" s="1"/>
      <c r="B137" s="24"/>
      <c r="R137" s="171"/>
      <c r="S137" s="171"/>
    </row>
    <row r="138" spans="1:22" x14ac:dyDescent="0.2">
      <c r="A138" s="1"/>
      <c r="B138" s="24"/>
      <c r="D138" s="58"/>
      <c r="E138" s="58"/>
      <c r="F138" s="58"/>
      <c r="G138" s="104"/>
      <c r="H138" s="104"/>
      <c r="I138" s="104"/>
      <c r="J138" s="104"/>
      <c r="K138" s="112"/>
      <c r="L138" s="113"/>
      <c r="M138" s="113"/>
      <c r="N138" s="113"/>
      <c r="R138" s="172"/>
    </row>
    <row r="139" spans="1:22" x14ac:dyDescent="0.2">
      <c r="A139" s="1"/>
      <c r="B139" s="24"/>
      <c r="D139" s="114" t="s">
        <v>84</v>
      </c>
      <c r="E139" s="58"/>
      <c r="F139" s="58"/>
      <c r="J139" s="115" t="s">
        <v>85</v>
      </c>
      <c r="K139" s="262">
        <f>MAX(K127:K130,K132:K133)</f>
        <v>3.05</v>
      </c>
      <c r="L139" s="262">
        <f t="shared" ref="L139:N139" si="22">MAX(L127:L130,L132:L133)</f>
        <v>2.0699999999999998</v>
      </c>
      <c r="M139" s="262">
        <f t="shared" si="22"/>
        <v>6.61</v>
      </c>
      <c r="N139" s="262">
        <f t="shared" si="22"/>
        <v>5.05</v>
      </c>
    </row>
    <row r="140" spans="1:22" x14ac:dyDescent="0.2">
      <c r="A140" s="1"/>
      <c r="B140" s="24"/>
      <c r="D140" s="114" t="s">
        <v>118</v>
      </c>
      <c r="E140" s="58"/>
      <c r="F140" s="58"/>
      <c r="J140" s="115" t="s">
        <v>86</v>
      </c>
      <c r="K140" s="262">
        <f>AVERAGE(K127:K130,K132:K133)</f>
        <v>1.2899999999999998</v>
      </c>
      <c r="L140" s="262">
        <f t="shared" ref="L140:N140" si="23">AVERAGE(L127:L130,L132:L133)</f>
        <v>0.82666666666666666</v>
      </c>
      <c r="M140" s="262">
        <f t="shared" si="23"/>
        <v>3.14</v>
      </c>
      <c r="N140" s="262">
        <f t="shared" si="23"/>
        <v>2.4733333333333332</v>
      </c>
    </row>
    <row r="141" spans="1:22" x14ac:dyDescent="0.2">
      <c r="A141" s="1"/>
      <c r="B141" s="24"/>
      <c r="D141" s="114"/>
      <c r="E141" s="58"/>
      <c r="F141" s="58"/>
      <c r="J141" s="115" t="s">
        <v>87</v>
      </c>
      <c r="K141" s="262">
        <f>MEDIAN(K127:K130,K132:K133)</f>
        <v>0.94500000000000006</v>
      </c>
      <c r="L141" s="262">
        <f t="shared" ref="L141:N141" si="24">MEDIAN(L127:L130,L132:L133)</f>
        <v>0.76500000000000001</v>
      </c>
      <c r="M141" s="262">
        <f t="shared" si="24"/>
        <v>2.64</v>
      </c>
      <c r="N141" s="262">
        <f t="shared" si="24"/>
        <v>2.2799999999999998</v>
      </c>
    </row>
    <row r="142" spans="1:22" x14ac:dyDescent="0.2">
      <c r="A142" s="1"/>
      <c r="B142" s="24"/>
      <c r="D142" s="58"/>
      <c r="E142" s="58"/>
      <c r="F142" s="58"/>
      <c r="J142" s="115" t="s">
        <v>88</v>
      </c>
      <c r="K142" s="262">
        <f>MIN(K127:K130,K132:K133)</f>
        <v>0.02</v>
      </c>
      <c r="L142" s="262">
        <f t="shared" ref="L142:N142" si="25">MIN(L127:L130,L132:L133)</f>
        <v>0.01</v>
      </c>
      <c r="M142" s="262">
        <f t="shared" si="25"/>
        <v>0.17</v>
      </c>
      <c r="N142" s="262">
        <f t="shared" si="25"/>
        <v>0.09</v>
      </c>
    </row>
    <row r="143" spans="1:22" x14ac:dyDescent="0.2">
      <c r="A143" s="1"/>
      <c r="B143" s="24"/>
      <c r="H143" s="104"/>
      <c r="I143" s="104"/>
      <c r="J143" s="104"/>
      <c r="K143" s="104"/>
    </row>
    <row r="144" spans="1:22" x14ac:dyDescent="0.2">
      <c r="A144" s="1"/>
      <c r="B144" s="24"/>
      <c r="D144" s="344" t="str">
        <f>C2</f>
        <v>Tesla Inc</v>
      </c>
      <c r="E144" s="344"/>
      <c r="F144" s="344"/>
      <c r="G144" s="344"/>
      <c r="H144" s="345"/>
      <c r="I144" s="346">
        <f>G116</f>
        <v>1398531.4004368</v>
      </c>
      <c r="J144" s="346">
        <f>G120</f>
        <v>1361568.4004368</v>
      </c>
      <c r="K144" s="346">
        <f>K140*J114</f>
        <v>122326.82999999999</v>
      </c>
      <c r="L144" s="346">
        <f>L140*K114</f>
        <v>91197.730481600011</v>
      </c>
      <c r="M144" s="346">
        <f>M140*J115</f>
        <v>32979.42</v>
      </c>
      <c r="N144" s="346">
        <f>N140*K115</f>
        <v>39558.573831924012</v>
      </c>
    </row>
    <row r="146" spans="1:9" s="311" customFormat="1" ht="18" thickBot="1" x14ac:dyDescent="0.25">
      <c r="A146" s="312" t="s">
        <v>156</v>
      </c>
      <c r="B146" s="313"/>
      <c r="C146" s="314" t="s">
        <v>116</v>
      </c>
      <c r="D146" s="308"/>
      <c r="E146" s="309"/>
      <c r="F146" s="310"/>
    </row>
    <row r="147" spans="1:9" ht="17" x14ac:dyDescent="0.2">
      <c r="A147" s="347"/>
      <c r="B147" s="348"/>
      <c r="C147" s="349"/>
      <c r="D147" s="350"/>
      <c r="E147" s="3"/>
      <c r="F147" s="4"/>
    </row>
    <row r="148" spans="1:9" x14ac:dyDescent="0.2">
      <c r="D148" s="430" t="s">
        <v>182</v>
      </c>
      <c r="E148" s="430"/>
      <c r="F148" s="430"/>
      <c r="G148" s="430"/>
      <c r="H148" s="430"/>
    </row>
    <row r="149" spans="1:9" x14ac:dyDescent="0.2">
      <c r="D149" s="435" t="s">
        <v>262</v>
      </c>
      <c r="E149" s="436"/>
      <c r="F149" s="351" t="s">
        <v>129</v>
      </c>
      <c r="G149" s="351" t="s">
        <v>155</v>
      </c>
      <c r="H149" s="351" t="s">
        <v>128</v>
      </c>
    </row>
    <row r="150" spans="1:9" x14ac:dyDescent="0.2">
      <c r="D150" s="431" t="s">
        <v>70</v>
      </c>
      <c r="E150" s="432"/>
      <c r="F150" s="388">
        <f>N115</f>
        <v>996269.14679440006</v>
      </c>
      <c r="G150" s="353">
        <f>H150-F150</f>
        <v>805009.23352751986</v>
      </c>
      <c r="H150" s="388">
        <f>N114</f>
        <v>1801278.3803219199</v>
      </c>
    </row>
    <row r="151" spans="1:9" x14ac:dyDescent="0.2">
      <c r="D151" s="431" t="s">
        <v>150</v>
      </c>
      <c r="E151" s="432"/>
      <c r="F151" s="388" cm="1">
        <f t="array" ref="F151">SUM(SUMPRODUCT($J$75:$N$75,1/(1+$H$105)^$J$78:$N$78)+(($L$93*(1+$I$100))/($H$105-$I$100))*(1/(1+$H$105)^$N$78),$E$97:$E$99)/$E$101*$G$115+$G$117-$G$118-$G$119</f>
        <v>232084.55823475629</v>
      </c>
      <c r="G151" s="353">
        <f t="shared" ref="G151:G155" si="26">H151-F151</f>
        <v>65205.47323531349</v>
      </c>
      <c r="H151" s="388" cm="1">
        <f t="array" ref="H151">SUM(SUMPRODUCT($J$75:$N$75,1/(1+$H$101)^$J$78:$N$78)+(($L$93*(1+$M$100))/($H$101-$M$100))*(1/(1+$H$101)^$N$78),$E$97:$E$99)/$E$101*$G$115+$G$117-$G$118-$G$119</f>
        <v>297290.03147006978</v>
      </c>
    </row>
    <row r="152" spans="1:9" x14ac:dyDescent="0.2">
      <c r="D152" s="431" t="s">
        <v>151</v>
      </c>
      <c r="E152" s="432"/>
      <c r="F152" s="388">
        <f>K140*J114</f>
        <v>122326.82999999999</v>
      </c>
      <c r="G152" s="353">
        <f t="shared" si="26"/>
        <v>166895.51999999999</v>
      </c>
      <c r="H152" s="388">
        <f>K139*J114</f>
        <v>289222.34999999998</v>
      </c>
      <c r="I152" s="1" t="s">
        <v>194</v>
      </c>
    </row>
    <row r="153" spans="1:9" x14ac:dyDescent="0.2">
      <c r="D153" s="431" t="s">
        <v>152</v>
      </c>
      <c r="E153" s="432"/>
      <c r="F153" s="388">
        <f>L140*K114</f>
        <v>91197.730481600011</v>
      </c>
      <c r="G153" s="353">
        <f t="shared" si="26"/>
        <v>137164.3285066</v>
      </c>
      <c r="H153" s="388">
        <f>L139*K114</f>
        <v>228362.05898820001</v>
      </c>
      <c r="I153" s="1" t="s">
        <v>194</v>
      </c>
    </row>
    <row r="154" spans="1:9" x14ac:dyDescent="0.2">
      <c r="D154" s="431" t="s">
        <v>153</v>
      </c>
      <c r="E154" s="432"/>
      <c r="F154" s="388">
        <f>M140*J115</f>
        <v>32979.42</v>
      </c>
      <c r="G154" s="353">
        <f t="shared" si="26"/>
        <v>36445.410000000003</v>
      </c>
      <c r="H154" s="388">
        <f>M139*J115</f>
        <v>69424.83</v>
      </c>
      <c r="I154" s="1" t="s">
        <v>194</v>
      </c>
    </row>
    <row r="155" spans="1:9" x14ac:dyDescent="0.2">
      <c r="D155" s="431" t="s">
        <v>154</v>
      </c>
      <c r="E155" s="432"/>
      <c r="F155" s="388">
        <f>N140*K115</f>
        <v>39558.573831924012</v>
      </c>
      <c r="G155" s="353">
        <f t="shared" si="26"/>
        <v>41211.290528406003</v>
      </c>
      <c r="H155" s="388">
        <f>N139*K115</f>
        <v>80769.864360330015</v>
      </c>
      <c r="I155" s="1" t="s">
        <v>194</v>
      </c>
    </row>
    <row r="176" spans="1:6" s="311" customFormat="1" ht="18" thickBot="1" x14ac:dyDescent="0.25">
      <c r="A176" s="312" t="s">
        <v>209</v>
      </c>
      <c r="B176" s="313"/>
      <c r="C176" s="314" t="s">
        <v>210</v>
      </c>
      <c r="D176" s="308"/>
      <c r="E176" s="309"/>
      <c r="F176" s="310"/>
    </row>
    <row r="179" spans="3:12" x14ac:dyDescent="0.2">
      <c r="C179" s="24" t="s">
        <v>211</v>
      </c>
    </row>
    <row r="180" spans="3:12" ht="16" thickBot="1" x14ac:dyDescent="0.25">
      <c r="C180" s="24"/>
    </row>
    <row r="181" spans="3:12" x14ac:dyDescent="0.2">
      <c r="C181" s="437" t="s">
        <v>272</v>
      </c>
      <c r="D181" s="438"/>
      <c r="E181" s="438"/>
      <c r="F181" s="438"/>
      <c r="G181" s="438"/>
      <c r="H181" s="438"/>
      <c r="I181" s="438"/>
      <c r="J181" s="438"/>
      <c r="K181" s="438"/>
      <c r="L181" s="439"/>
    </row>
    <row r="182" spans="3:12" x14ac:dyDescent="0.2">
      <c r="C182" s="440"/>
      <c r="D182" s="441"/>
      <c r="E182" s="441"/>
      <c r="F182" s="441"/>
      <c r="G182" s="441"/>
      <c r="H182" s="441"/>
      <c r="I182" s="441"/>
      <c r="J182" s="441"/>
      <c r="K182" s="441"/>
      <c r="L182" s="442"/>
    </row>
    <row r="183" spans="3:12" x14ac:dyDescent="0.2">
      <c r="C183" s="440"/>
      <c r="D183" s="441"/>
      <c r="E183" s="441"/>
      <c r="F183" s="441"/>
      <c r="G183" s="441"/>
      <c r="H183" s="441"/>
      <c r="I183" s="441"/>
      <c r="J183" s="441"/>
      <c r="K183" s="441"/>
      <c r="L183" s="442"/>
    </row>
    <row r="184" spans="3:12" x14ac:dyDescent="0.2">
      <c r="C184" s="440"/>
      <c r="D184" s="441"/>
      <c r="E184" s="441"/>
      <c r="F184" s="441"/>
      <c r="G184" s="441"/>
      <c r="H184" s="441"/>
      <c r="I184" s="441"/>
      <c r="J184" s="441"/>
      <c r="K184" s="441"/>
      <c r="L184" s="442"/>
    </row>
    <row r="185" spans="3:12" x14ac:dyDescent="0.2">
      <c r="C185" s="440"/>
      <c r="D185" s="441"/>
      <c r="E185" s="441"/>
      <c r="F185" s="441"/>
      <c r="G185" s="441"/>
      <c r="H185" s="441"/>
      <c r="I185" s="441"/>
      <c r="J185" s="441"/>
      <c r="K185" s="441"/>
      <c r="L185" s="442"/>
    </row>
    <row r="186" spans="3:12" x14ac:dyDescent="0.2">
      <c r="C186" s="440"/>
      <c r="D186" s="441"/>
      <c r="E186" s="441"/>
      <c r="F186" s="441"/>
      <c r="G186" s="441"/>
      <c r="H186" s="441"/>
      <c r="I186" s="441"/>
      <c r="J186" s="441"/>
      <c r="K186" s="441"/>
      <c r="L186" s="442"/>
    </row>
    <row r="187" spans="3:12" ht="16" thickBot="1" x14ac:dyDescent="0.25">
      <c r="C187" s="443"/>
      <c r="D187" s="444"/>
      <c r="E187" s="444"/>
      <c r="F187" s="444"/>
      <c r="G187" s="444"/>
      <c r="H187" s="444"/>
      <c r="I187" s="444"/>
      <c r="J187" s="444"/>
      <c r="K187" s="444"/>
      <c r="L187" s="445"/>
    </row>
    <row r="1003" spans="646:646" ht="16" x14ac:dyDescent="0.2">
      <c r="XV1003" s="217">
        <v>66258</v>
      </c>
    </row>
  </sheetData>
  <sheetProtection formatCells="0" formatColumns="0" formatRows="0" insertColumns="0" insertRows="0" insertHyperlinks="0" deleteColumns="0" deleteRows="0" selectLockedCells="1" sort="0" autoFilter="0" pivotTables="0"/>
  <mergeCells count="12">
    <mergeCell ref="C181:L187"/>
    <mergeCell ref="G101:G105"/>
    <mergeCell ref="C24:F24"/>
    <mergeCell ref="S127:V132"/>
    <mergeCell ref="D148:H148"/>
    <mergeCell ref="D150:E150"/>
    <mergeCell ref="D151:E151"/>
    <mergeCell ref="D152:E152"/>
    <mergeCell ref="D153:E153"/>
    <mergeCell ref="D154:E154"/>
    <mergeCell ref="D155:E155"/>
    <mergeCell ref="D149:E149"/>
  </mergeCells>
  <conditionalFormatting sqref="L10 J15 M17 K22 L27 N29 F49 F53 F60 E94:E96 E100 H100 K100 E102 H103 G120 F150:F155 H150:H155 J79:N79 J81:N81 J116:K117 N114:N115 K139:N142">
    <cfRule type="expression" dxfId="2" priority="1169">
      <formula>E10=""</formula>
    </cfRule>
  </conditionalFormatting>
  <pageMargins left="0.7" right="0.7" top="0.75" bottom="0.75" header="0.3" footer="0.3"/>
  <ignoredErrors>
    <ignoredError sqref="L93 C94 I93 L95:L96 C69 K90:N90 J66:N71 D144 I144:N144 E55:F55 E54 E50:F52 G116 H120:K120 H119:K119 J76:N78 H39:O40 O34:O38 O12:O32 H117 J114:K115 J86 J37:N37 N35 K36 J33:P33 P36 H68:H71 H74 K74:N74 H72:N72 H75 H73 K73:N73 K75:N75 P34:P35 J73 I74 I75 I73 J75 J74 J82:N84 E60 E53 E49 E57:F59 F56 E97 E101 G117:G119 G151 G154 G152:G153 G155 M10:N10 J10:K10 J11:N11 J22 J12:N13 J14:N14 N17:N18 M19:N22 M15:N16 M18 J16:J21 J8:N9 H116 H118 J118:K118" unlockedFormula="1"/>
    <ignoredError sqref="J85:N85 J30:N32 K87:N88 K86:N86 K89:N89 J87:J90 L36:N36 J36 K38:N38 J35 K34:M34 N34 J34 K35:M35 J28:K28 J23 J26 J27 J24:J25 J29:K29 L29:M29 M27:N27 M24:N25 M26:N26 M23:N23 L28:N28 K16:K21 L15:L16 L17:L18 L19:L22 K15 L23 L26 L24:L25 K24:K25 K27 K26 K23" formula="1" unlockedFormula="1"/>
  </ignoredErrors>
  <legacyDrawing r:id="rId1"/>
  <extLst>
    <ext xmlns:x14="http://schemas.microsoft.com/office/spreadsheetml/2009/9/main" uri="{78C0D931-6437-407d-A8EE-F0AAD7539E65}">
      <x14:conditionalFormattings>
        <x14:conditionalFormatting xmlns:xm="http://schemas.microsoft.com/office/excel/2006/main">
          <x14:cfRule type="expression" priority="1170" id="{DFF07C27-4903-4463-AEAE-D19442459570}">
            <xm:f>E10=CONDFORM!E10</xm:f>
            <x14:dxf>
              <font>
                <color theme="7"/>
              </font>
              <fill>
                <patternFill>
                  <bgColor theme="6"/>
                </patternFill>
              </fill>
            </x14:dxf>
          </x14:cfRule>
          <x14:cfRule type="expression" priority="1171" id="{554B2218-06E2-47AD-B517-5138CE70CA97}">
            <xm:f>E10&lt;&gt;CONDFORM!E10</xm:f>
            <x14:dxf>
              <font>
                <color theme="5"/>
              </font>
              <fill>
                <patternFill>
                  <bgColor theme="4"/>
                </patternFill>
              </fill>
            </x14:dxf>
          </x14:cfRule>
          <xm:sqref>L10 J15 M17 K22 L27 N29 F49 F53 F60 E94:E96 E100 H100 K100 E102 H103 G120 F150:F155 H150:H155 J79:N79 J81:N81 J116:K117 N114:N115 K139:N142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D288C-B3B6-47E9-820A-54AEED845693}">
  <dimension ref="A2:U41"/>
  <sheetViews>
    <sheetView topLeftCell="A6" workbookViewId="0">
      <selection activeCell="I24" sqref="I24"/>
    </sheetView>
  </sheetViews>
  <sheetFormatPr baseColWidth="10" defaultColWidth="9.1640625" defaultRowHeight="15" x14ac:dyDescent="0.2"/>
  <cols>
    <col min="1" max="1" width="9.1640625" style="173"/>
    <col min="2" max="4" width="9.1640625" style="173" customWidth="1"/>
    <col min="5" max="5" width="23.83203125" style="173" customWidth="1"/>
    <col min="6" max="7" width="9.1640625" style="173" customWidth="1"/>
    <col min="8" max="8" width="20.33203125" style="173" customWidth="1"/>
    <col min="9" max="9" width="12.5" style="173" customWidth="1"/>
    <col min="10" max="21" width="9.1640625" style="173" customWidth="1"/>
    <col min="22" max="16384" width="9.1640625" style="173"/>
  </cols>
  <sheetData>
    <row r="2" spans="1:21" s="58" customFormat="1" ht="18" thickBot="1" x14ac:dyDescent="0.25">
      <c r="A2" s="174"/>
      <c r="C2" s="2" t="s">
        <v>101</v>
      </c>
      <c r="D2" s="3"/>
      <c r="E2" s="3"/>
      <c r="F2" s="4"/>
    </row>
    <row r="3" spans="1:21" s="58" customFormat="1" ht="16" thickTop="1" x14ac:dyDescent="0.2">
      <c r="A3" s="174"/>
      <c r="C3" s="5" t="s">
        <v>102</v>
      </c>
      <c r="D3" s="6"/>
      <c r="E3" s="6"/>
      <c r="F3" s="7"/>
      <c r="G3" s="175"/>
      <c r="H3" s="175"/>
      <c r="I3" s="175"/>
      <c r="J3" s="175"/>
      <c r="K3" s="175"/>
      <c r="L3" s="175"/>
      <c r="M3" s="175"/>
      <c r="N3" s="175"/>
      <c r="O3" s="175"/>
      <c r="P3" s="175"/>
    </row>
    <row r="4" spans="1:21" s="58" customFormat="1" x14ac:dyDescent="0.2">
      <c r="A4" s="174"/>
    </row>
    <row r="5" spans="1:21" s="177" customFormat="1" ht="18" thickBot="1" x14ac:dyDescent="0.25">
      <c r="A5" s="176" t="s">
        <v>0</v>
      </c>
      <c r="C5" s="141" t="s">
        <v>121</v>
      </c>
      <c r="D5" s="139"/>
      <c r="E5" s="139"/>
      <c r="F5" s="140"/>
    </row>
    <row r="6" spans="1:21" ht="16" thickBot="1" x14ac:dyDescent="0.25"/>
    <row r="7" spans="1:21" x14ac:dyDescent="0.2">
      <c r="C7" s="197" t="s">
        <v>124</v>
      </c>
      <c r="D7" s="198"/>
      <c r="E7" s="198"/>
      <c r="F7" s="198"/>
      <c r="G7" s="198"/>
      <c r="H7" s="198"/>
      <c r="I7" s="198"/>
      <c r="J7" s="198"/>
      <c r="K7" s="198"/>
      <c r="L7" s="198"/>
      <c r="M7" s="198"/>
      <c r="N7" s="198"/>
      <c r="O7" s="198"/>
      <c r="P7" s="199"/>
    </row>
    <row r="8" spans="1:21" x14ac:dyDescent="0.2">
      <c r="C8" s="200"/>
      <c r="P8" s="201"/>
    </row>
    <row r="9" spans="1:21" x14ac:dyDescent="0.2">
      <c r="C9" s="399" t="s">
        <v>176</v>
      </c>
      <c r="D9" s="400"/>
      <c r="E9" s="400"/>
      <c r="F9" s="400"/>
      <c r="G9" s="400"/>
      <c r="H9" s="400"/>
      <c r="I9" s="400"/>
      <c r="J9" s="400"/>
      <c r="K9" s="400"/>
      <c r="L9" s="400"/>
      <c r="M9" s="400"/>
      <c r="N9" s="400"/>
      <c r="O9" s="400"/>
      <c r="P9" s="401"/>
    </row>
    <row r="10" spans="1:21" ht="16" thickBot="1" x14ac:dyDescent="0.25">
      <c r="C10" s="402"/>
      <c r="D10" s="403"/>
      <c r="E10" s="403"/>
      <c r="F10" s="403"/>
      <c r="G10" s="403"/>
      <c r="H10" s="403"/>
      <c r="I10" s="403"/>
      <c r="J10" s="403"/>
      <c r="K10" s="403"/>
      <c r="L10" s="403"/>
      <c r="M10" s="403"/>
      <c r="N10" s="403"/>
      <c r="O10" s="403"/>
      <c r="P10" s="404"/>
    </row>
    <row r="11" spans="1:21" ht="16" thickBot="1" x14ac:dyDescent="0.25">
      <c r="C11" s="180"/>
    </row>
    <row r="12" spans="1:21" x14ac:dyDescent="0.2">
      <c r="C12" s="197" t="s">
        <v>125</v>
      </c>
      <c r="D12" s="198"/>
      <c r="E12" s="198"/>
      <c r="F12" s="198"/>
      <c r="G12" s="198"/>
      <c r="H12" s="198"/>
      <c r="I12" s="198"/>
      <c r="J12" s="198"/>
      <c r="K12" s="198"/>
      <c r="L12" s="198"/>
      <c r="M12" s="198"/>
      <c r="N12" s="198"/>
      <c r="O12" s="198"/>
      <c r="P12" s="199"/>
    </row>
    <row r="13" spans="1:21" ht="16" thickBot="1" x14ac:dyDescent="0.25">
      <c r="C13" s="200"/>
      <c r="P13" s="201"/>
    </row>
    <row r="14" spans="1:21" x14ac:dyDescent="0.2">
      <c r="C14" s="202" t="s">
        <v>159</v>
      </c>
      <c r="P14" s="201"/>
      <c r="R14" s="446" t="s">
        <v>177</v>
      </c>
      <c r="S14" s="447"/>
      <c r="T14" s="447"/>
      <c r="U14" s="448"/>
    </row>
    <row r="15" spans="1:21" x14ac:dyDescent="0.2">
      <c r="C15" s="202" t="s">
        <v>160</v>
      </c>
      <c r="F15" s="203"/>
      <c r="H15" s="285">
        <v>0.12</v>
      </c>
      <c r="J15" s="173" t="s">
        <v>162</v>
      </c>
      <c r="P15" s="201"/>
      <c r="R15" s="449"/>
      <c r="S15" s="450"/>
      <c r="T15" s="450"/>
      <c r="U15" s="451"/>
    </row>
    <row r="16" spans="1:21" x14ac:dyDescent="0.2">
      <c r="C16" s="202" t="s">
        <v>161</v>
      </c>
      <c r="H16" s="285">
        <v>0.14000000000000001</v>
      </c>
      <c r="J16" s="173" t="s">
        <v>163</v>
      </c>
      <c r="P16" s="201"/>
      <c r="R16" s="449"/>
      <c r="S16" s="450"/>
      <c r="T16" s="450"/>
      <c r="U16" s="451"/>
    </row>
    <row r="17" spans="3:21" x14ac:dyDescent="0.2">
      <c r="C17" s="202" t="s">
        <v>164</v>
      </c>
      <c r="I17" s="220">
        <f>I37</f>
        <v>2024</v>
      </c>
      <c r="J17" s="220">
        <f>I17+1</f>
        <v>2025</v>
      </c>
      <c r="K17" s="220">
        <f>J17+1</f>
        <v>2026</v>
      </c>
      <c r="L17" s="220">
        <f>K17+1</f>
        <v>2027</v>
      </c>
      <c r="M17" s="220">
        <f>L17+1</f>
        <v>2028</v>
      </c>
      <c r="P17" s="201"/>
      <c r="R17" s="449"/>
      <c r="S17" s="450"/>
      <c r="T17" s="450"/>
      <c r="U17" s="451"/>
    </row>
    <row r="18" spans="3:21" x14ac:dyDescent="0.2">
      <c r="C18" s="202"/>
      <c r="H18" s="203"/>
      <c r="I18" s="284">
        <v>-0.08</v>
      </c>
      <c r="J18" s="284">
        <v>-0.05</v>
      </c>
      <c r="K18" s="284">
        <v>-0.03</v>
      </c>
      <c r="L18" s="284">
        <v>0</v>
      </c>
      <c r="M18" s="284">
        <v>0.02</v>
      </c>
      <c r="N18" s="173" t="s">
        <v>165</v>
      </c>
      <c r="P18" s="201"/>
      <c r="R18" s="449"/>
      <c r="S18" s="450"/>
      <c r="T18" s="450"/>
      <c r="U18" s="451"/>
    </row>
    <row r="19" spans="3:21" ht="16" thickBot="1" x14ac:dyDescent="0.25">
      <c r="C19" s="204"/>
      <c r="D19" s="205"/>
      <c r="E19" s="205"/>
      <c r="F19" s="205"/>
      <c r="G19" s="205"/>
      <c r="H19" s="206"/>
      <c r="I19" s="205"/>
      <c r="J19" s="205"/>
      <c r="K19" s="205"/>
      <c r="L19" s="205"/>
      <c r="M19" s="205"/>
      <c r="N19" s="205"/>
      <c r="O19" s="205"/>
      <c r="P19" s="207"/>
      <c r="R19" s="452"/>
      <c r="S19" s="453"/>
      <c r="T19" s="453"/>
      <c r="U19" s="454"/>
    </row>
    <row r="20" spans="3:21" ht="16" thickBot="1" x14ac:dyDescent="0.25">
      <c r="C20" s="180"/>
      <c r="H20" s="203"/>
    </row>
    <row r="21" spans="3:21" x14ac:dyDescent="0.2">
      <c r="C21" s="197" t="s">
        <v>126</v>
      </c>
      <c r="D21" s="198"/>
      <c r="E21" s="198"/>
      <c r="F21" s="198"/>
      <c r="G21" s="198"/>
      <c r="H21" s="198"/>
      <c r="I21" s="198"/>
      <c r="J21" s="198"/>
      <c r="K21" s="198"/>
      <c r="L21" s="198"/>
      <c r="M21" s="198"/>
      <c r="N21" s="198"/>
      <c r="O21" s="198"/>
      <c r="P21" s="199"/>
    </row>
    <row r="22" spans="3:21" x14ac:dyDescent="0.2">
      <c r="C22" s="200"/>
      <c r="P22" s="201"/>
    </row>
    <row r="23" spans="3:21" x14ac:dyDescent="0.2">
      <c r="C23" s="200"/>
      <c r="P23" s="201"/>
    </row>
    <row r="24" spans="3:21" x14ac:dyDescent="0.2">
      <c r="C24" s="200"/>
      <c r="I24" s="185">
        <f>I17</f>
        <v>2024</v>
      </c>
      <c r="J24" s="185">
        <f>I24+1</f>
        <v>2025</v>
      </c>
      <c r="K24" s="185">
        <f>J24+1</f>
        <v>2026</v>
      </c>
      <c r="L24" s="185">
        <f>K24+1</f>
        <v>2027</v>
      </c>
      <c r="M24" s="185">
        <f>L24+1</f>
        <v>2028</v>
      </c>
      <c r="P24" s="201"/>
    </row>
    <row r="25" spans="3:21" x14ac:dyDescent="0.2">
      <c r="C25" s="200"/>
      <c r="H25" s="173" t="s">
        <v>167</v>
      </c>
      <c r="I25" s="209">
        <v>0.20399999999999999</v>
      </c>
      <c r="J25" s="209">
        <v>0.245</v>
      </c>
      <c r="K25" s="209">
        <v>0.28299999999999997</v>
      </c>
      <c r="L25" s="209">
        <v>0.42099999999999999</v>
      </c>
      <c r="M25" s="209">
        <v>0.35</v>
      </c>
      <c r="P25" s="201"/>
    </row>
    <row r="26" spans="3:21" x14ac:dyDescent="0.2">
      <c r="C26" s="200"/>
      <c r="H26" s="173" t="s">
        <v>168</v>
      </c>
      <c r="I26" s="209">
        <v>0.15890000000000001</v>
      </c>
      <c r="J26" s="209">
        <v>0.1245</v>
      </c>
      <c r="K26" s="209">
        <v>0.1012</v>
      </c>
      <c r="L26" s="209">
        <v>8.6499999999999994E-2</v>
      </c>
      <c r="M26" s="209">
        <v>7.0000000000000007E-2</v>
      </c>
      <c r="P26" s="201"/>
    </row>
    <row r="27" spans="3:21" x14ac:dyDescent="0.2">
      <c r="C27" s="200"/>
      <c r="H27" s="173" t="s">
        <v>169</v>
      </c>
      <c r="I27" s="209">
        <v>0.153</v>
      </c>
      <c r="J27" s="209">
        <v>0.16400000000000001</v>
      </c>
      <c r="K27" s="209">
        <v>0.17499999999999999</v>
      </c>
      <c r="L27" s="209">
        <v>0.186</v>
      </c>
      <c r="M27" s="209">
        <v>0.16</v>
      </c>
      <c r="P27" s="201"/>
    </row>
    <row r="28" spans="3:21" x14ac:dyDescent="0.2">
      <c r="C28" s="200"/>
      <c r="H28" s="173" t="s">
        <v>170</v>
      </c>
      <c r="I28" s="209">
        <v>0.16700000000000001</v>
      </c>
      <c r="J28" s="209">
        <v>0.14000000000000001</v>
      </c>
      <c r="K28" s="209">
        <v>0.12</v>
      </c>
      <c r="L28" s="209">
        <v>0.1</v>
      </c>
      <c r="M28" s="209">
        <v>0.09</v>
      </c>
      <c r="P28" s="201"/>
    </row>
    <row r="29" spans="3:21" x14ac:dyDescent="0.2">
      <c r="C29" s="200"/>
      <c r="H29" s="173" t="s">
        <v>171</v>
      </c>
      <c r="I29" s="209">
        <v>0.13400000000000001</v>
      </c>
      <c r="J29" s="209">
        <v>0.14000000000000001</v>
      </c>
      <c r="K29" s="209">
        <v>0.152</v>
      </c>
      <c r="L29" s="209">
        <v>0.16200000000000001</v>
      </c>
      <c r="M29" s="209">
        <v>0.14000000000000001</v>
      </c>
      <c r="P29" s="201"/>
    </row>
    <row r="30" spans="3:21" x14ac:dyDescent="0.2">
      <c r="C30" s="200"/>
      <c r="H30" s="180" t="s">
        <v>172</v>
      </c>
      <c r="I30" s="213">
        <v>0.16338000000000003</v>
      </c>
      <c r="J30" s="210">
        <v>0.16270000000000001</v>
      </c>
      <c r="K30" s="210">
        <v>0.16624</v>
      </c>
      <c r="L30" s="210">
        <v>0.19109999999999999</v>
      </c>
      <c r="M30" s="210">
        <v>0.16199999999999998</v>
      </c>
      <c r="P30" s="201"/>
    </row>
    <row r="31" spans="3:21" ht="16" thickBot="1" x14ac:dyDescent="0.25">
      <c r="C31" s="200"/>
      <c r="P31" s="201"/>
    </row>
    <row r="32" spans="3:21" ht="16" thickBot="1" x14ac:dyDescent="0.25">
      <c r="C32" s="200" t="s">
        <v>122</v>
      </c>
      <c r="E32" s="191" t="s">
        <v>158</v>
      </c>
      <c r="H32" s="173" t="s">
        <v>123</v>
      </c>
      <c r="J32" s="455"/>
      <c r="K32" s="456"/>
      <c r="L32" s="456"/>
      <c r="M32" s="457"/>
      <c r="P32" s="201"/>
    </row>
    <row r="33" spans="3:16" ht="16" thickBot="1" x14ac:dyDescent="0.25">
      <c r="C33" s="202"/>
      <c r="J33" s="458"/>
      <c r="K33" s="459"/>
      <c r="L33" s="459"/>
      <c r="M33" s="460"/>
      <c r="P33" s="201"/>
    </row>
    <row r="34" spans="3:16" ht="16" thickBot="1" x14ac:dyDescent="0.25">
      <c r="C34" s="208"/>
      <c r="D34" s="205"/>
      <c r="E34" s="205"/>
      <c r="F34" s="205"/>
      <c r="G34" s="205"/>
      <c r="H34" s="205"/>
      <c r="I34" s="205"/>
      <c r="J34" s="211"/>
      <c r="K34" s="211"/>
      <c r="L34" s="211"/>
      <c r="M34" s="211"/>
      <c r="N34" s="205"/>
      <c r="O34" s="205"/>
      <c r="P34" s="207"/>
    </row>
    <row r="36" spans="3:16" x14ac:dyDescent="0.2">
      <c r="C36" s="9" t="s">
        <v>1</v>
      </c>
      <c r="D36" s="9"/>
      <c r="E36" s="9"/>
      <c r="F36" s="9"/>
      <c r="G36" s="10"/>
      <c r="H36" s="145"/>
      <c r="I36" s="11" t="s">
        <v>2</v>
      </c>
      <c r="J36" s="11"/>
      <c r="K36" s="11"/>
      <c r="L36" s="11"/>
      <c r="M36" s="11"/>
    </row>
    <row r="37" spans="3:16" x14ac:dyDescent="0.2">
      <c r="C37" s="178"/>
      <c r="D37" s="179"/>
      <c r="E37" s="179"/>
      <c r="F37" s="179"/>
      <c r="G37" s="117" t="s">
        <v>4</v>
      </c>
      <c r="H37" s="186">
        <v>2023</v>
      </c>
      <c r="I37" s="187">
        <f>H37+1</f>
        <v>2024</v>
      </c>
      <c r="J37" s="187">
        <f>I37+1</f>
        <v>2025</v>
      </c>
      <c r="K37" s="187">
        <f>J37+1</f>
        <v>2026</v>
      </c>
      <c r="L37" s="187">
        <f>K37+1</f>
        <v>2027</v>
      </c>
      <c r="M37" s="187">
        <f>L37+1</f>
        <v>2028</v>
      </c>
      <c r="P37" s="193" t="s">
        <v>174</v>
      </c>
    </row>
    <row r="38" spans="3:16" x14ac:dyDescent="0.2">
      <c r="C38" s="173" t="s">
        <v>173</v>
      </c>
      <c r="G38" s="173" t="s">
        <v>19</v>
      </c>
      <c r="H38" s="188">
        <f>'Simple Operating Model'!I10/'Simple Operating Model'!H10-1</f>
        <v>-2.9306991503736279E-2</v>
      </c>
      <c r="I38" s="188">
        <f>H38-2%</f>
        <v>-4.9306991503736283E-2</v>
      </c>
      <c r="J38" s="188">
        <f t="shared" ref="J38:M38" si="0">I38-2%</f>
        <v>-6.9306991503736287E-2</v>
      </c>
      <c r="K38" s="188">
        <f t="shared" si="0"/>
        <v>-8.9306991503736291E-2</v>
      </c>
      <c r="L38" s="188">
        <f t="shared" si="0"/>
        <v>-0.10930699150373629</v>
      </c>
      <c r="M38" s="188">
        <f t="shared" si="0"/>
        <v>-0.12930699150373628</v>
      </c>
      <c r="P38" s="193" t="str">
        <f>C38</f>
        <v>Historic Growth Rate</v>
      </c>
    </row>
    <row r="39" spans="3:16" x14ac:dyDescent="0.2">
      <c r="C39" s="173" t="s">
        <v>166</v>
      </c>
      <c r="H39" s="196">
        <f>'Simple Operating Model'!I10</f>
        <v>94827</v>
      </c>
      <c r="I39" s="189">
        <f>(H39/$H$15)*(1+$H$16)*($H$15*(1+I18))</f>
        <v>99454.557600000015</v>
      </c>
      <c r="J39" s="189">
        <f>(I39/'CONDFORM 1'!$H$15)*(1+$H$16)*($H$15*(1+J18))</f>
        <v>107709.28588080002</v>
      </c>
      <c r="K39" s="189">
        <f>(J39/'CONDFORM 1'!$H$15)*(1+$H$16)*($H$15*(1+K18))</f>
        <v>119104.92832698867</v>
      </c>
      <c r="L39" s="189">
        <f>(K39/'CONDFORM 1'!$H$15)*(1+$H$16)*($H$15*(1+L18))</f>
        <v>135779.61829276709</v>
      </c>
      <c r="M39" s="189">
        <f>(L39/'CONDFORM 1'!$H$15)*(1+$H$16)*($H$15*(1+M18))</f>
        <v>157884.54015082959</v>
      </c>
      <c r="P39" s="193" t="str">
        <f>C40</f>
        <v>Market Growth Rate</v>
      </c>
    </row>
    <row r="40" spans="3:16" x14ac:dyDescent="0.2">
      <c r="C40" s="173" t="s">
        <v>157</v>
      </c>
      <c r="H40" s="194"/>
      <c r="I40" s="190">
        <f>I39/H39-1</f>
        <v>4.8800000000000177E-2</v>
      </c>
      <c r="J40" s="190">
        <f>J39/I39-1</f>
        <v>8.2999999999999963E-2</v>
      </c>
      <c r="K40" s="190">
        <f>K39/J39-1</f>
        <v>0.10580000000000012</v>
      </c>
      <c r="L40" s="190">
        <f>L39/K39-1</f>
        <v>0.14000000000000012</v>
      </c>
      <c r="M40" s="190">
        <f>M39/L39-1</f>
        <v>0.16280000000000006</v>
      </c>
      <c r="P40" s="193" t="str">
        <f>C41</f>
        <v>Broker Forecasts</v>
      </c>
    </row>
    <row r="41" spans="3:16" x14ac:dyDescent="0.2">
      <c r="C41" s="173" t="s">
        <v>158</v>
      </c>
      <c r="H41" s="195"/>
      <c r="I41" s="188">
        <f>I30</f>
        <v>0.16338000000000003</v>
      </c>
      <c r="J41" s="188">
        <f t="shared" ref="J41:M41" si="1">J30</f>
        <v>0.16270000000000001</v>
      </c>
      <c r="K41" s="188">
        <f t="shared" si="1"/>
        <v>0.16624</v>
      </c>
      <c r="L41" s="188">
        <f t="shared" si="1"/>
        <v>0.19109999999999999</v>
      </c>
      <c r="M41" s="188">
        <f t="shared" si="1"/>
        <v>0.16199999999999998</v>
      </c>
    </row>
  </sheetData>
  <mergeCells count="3">
    <mergeCell ref="C9:P10"/>
    <mergeCell ref="R14:U19"/>
    <mergeCell ref="J32:M33"/>
  </mergeCells>
  <dataValidations count="1">
    <dataValidation type="list" allowBlank="1" showInputMessage="1" showErrorMessage="1" sqref="E32" xr:uid="{50140C67-0F3E-4EA1-9A28-58C3EBD88EA2}">
      <formula1>$P$37:$P$40</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80B5-65BC-4CEC-88E4-FBC077B60D73}">
  <sheetPr codeName="Sheet6"/>
  <dimension ref="A2:U186"/>
  <sheetViews>
    <sheetView showGridLines="0" zoomScale="128" zoomScaleNormal="125" workbookViewId="0"/>
  </sheetViews>
  <sheetFormatPr baseColWidth="10" defaultColWidth="9.1640625" defaultRowHeight="15" x14ac:dyDescent="0.2"/>
  <cols>
    <col min="1" max="1" width="9.1640625" style="24"/>
    <col min="2" max="2" width="3.6640625" style="1" customWidth="1"/>
    <col min="3" max="6" width="13.6640625" style="1" customWidth="1"/>
    <col min="7" max="7" width="22.6640625" style="1" bestFit="1" customWidth="1"/>
    <col min="8" max="10" width="13.5" style="1" customWidth="1"/>
    <col min="11" max="16" width="13.6640625" style="1" customWidth="1"/>
    <col min="17" max="21" width="9.1640625" style="1" customWidth="1"/>
    <col min="22" max="16384" width="9.1640625" style="1"/>
  </cols>
  <sheetData>
    <row r="2" spans="1:16" ht="18" thickBot="1" x14ac:dyDescent="0.25">
      <c r="C2" s="354" t="s">
        <v>101</v>
      </c>
      <c r="D2" s="316"/>
      <c r="E2" s="316"/>
      <c r="F2" s="317"/>
      <c r="G2" s="318"/>
      <c r="H2" s="318"/>
      <c r="I2" s="318"/>
      <c r="J2" s="318"/>
      <c r="K2" s="318"/>
      <c r="L2" s="318"/>
      <c r="M2" s="318"/>
      <c r="N2" s="318"/>
      <c r="O2" s="318"/>
      <c r="P2" s="318"/>
    </row>
    <row r="3" spans="1:16" x14ac:dyDescent="0.2">
      <c r="C3" s="355" t="s">
        <v>102</v>
      </c>
      <c r="D3" s="356"/>
      <c r="E3" s="356"/>
      <c r="F3" s="357"/>
    </row>
    <row r="5" spans="1:16" s="311" customFormat="1" ht="18" thickBot="1" x14ac:dyDescent="0.25">
      <c r="A5" s="312" t="s">
        <v>25</v>
      </c>
      <c r="B5" s="313"/>
      <c r="C5" s="358" t="s">
        <v>1</v>
      </c>
      <c r="D5" s="308"/>
      <c r="E5" s="309"/>
      <c r="F5" s="310"/>
    </row>
    <row r="7" spans="1:16" x14ac:dyDescent="0.2">
      <c r="A7" s="136"/>
      <c r="B7" s="8"/>
      <c r="C7" s="319" t="s">
        <v>1</v>
      </c>
      <c r="D7" s="319"/>
      <c r="E7" s="319"/>
      <c r="F7" s="319"/>
      <c r="G7" s="320"/>
      <c r="H7" s="321"/>
      <c r="I7" s="322"/>
      <c r="J7" s="325" t="s">
        <v>2</v>
      </c>
      <c r="K7" s="325"/>
      <c r="L7" s="325"/>
      <c r="M7" s="325"/>
      <c r="N7" s="325"/>
    </row>
    <row r="8" spans="1:16" x14ac:dyDescent="0.2">
      <c r="C8" s="13" t="s">
        <v>3</v>
      </c>
      <c r="D8" s="14"/>
      <c r="E8" s="14"/>
      <c r="F8" s="14"/>
      <c r="G8" s="15" t="s">
        <v>4</v>
      </c>
      <c r="H8" s="323">
        <f>I8-1</f>
        <v>2024</v>
      </c>
      <c r="I8" s="324">
        <v>2025</v>
      </c>
      <c r="J8" s="326">
        <f>I8+1</f>
        <v>2026</v>
      </c>
      <c r="K8" s="326">
        <f>J8+1</f>
        <v>2027</v>
      </c>
      <c r="L8" s="326">
        <f>K8+1</f>
        <v>2028</v>
      </c>
      <c r="M8" s="326">
        <f>L8+1</f>
        <v>2029</v>
      </c>
      <c r="N8" s="326">
        <f>M8+1</f>
        <v>2030</v>
      </c>
    </row>
    <row r="9" spans="1:16" ht="4" customHeight="1" x14ac:dyDescent="0.2">
      <c r="G9" s="16"/>
      <c r="I9" s="116"/>
    </row>
    <row r="10" spans="1:16" ht="15" customHeight="1" x14ac:dyDescent="0.2">
      <c r="C10" s="1" t="s">
        <v>5</v>
      </c>
      <c r="G10" s="15" t="s">
        <v>6</v>
      </c>
      <c r="H10" s="19">
        <v>97690</v>
      </c>
      <c r="I10" s="17">
        <v>94827</v>
      </c>
      <c r="J10" s="154">
        <f>I10*(1+J33)</f>
        <v>110319.83526000001</v>
      </c>
      <c r="K10" s="154">
        <f>J10*(1+K33)</f>
        <v>128268.87245680201</v>
      </c>
      <c r="L10" s="255">
        <f>K10*(1+L33)</f>
        <v>149592.28981402077</v>
      </c>
      <c r="M10" s="154">
        <f>L10*(1+M33)</f>
        <v>178179.37639748014</v>
      </c>
      <c r="N10" s="154">
        <f>M10*(1+N33)</f>
        <v>207044.43537387191</v>
      </c>
    </row>
    <row r="11" spans="1:16" x14ac:dyDescent="0.2">
      <c r="C11" s="18" t="s">
        <v>7</v>
      </c>
      <c r="D11" s="18"/>
      <c r="E11" s="18"/>
      <c r="F11" s="18"/>
      <c r="G11" s="15" t="s">
        <v>6</v>
      </c>
      <c r="H11" s="19">
        <v>80240</v>
      </c>
      <c r="I11" s="17">
        <v>77733</v>
      </c>
      <c r="J11" s="154">
        <f>J10*J34</f>
        <v>90433.017540000001</v>
      </c>
      <c r="K11" s="154">
        <f>K10*K34</f>
        <v>102910.26570596888</v>
      </c>
      <c r="L11" s="154">
        <f>L10*L34</f>
        <v>117410.11797145793</v>
      </c>
      <c r="M11" s="154">
        <f>M10*M34</f>
        <v>136740.86190695682</v>
      </c>
      <c r="N11" s="154">
        <f>N10*N34</f>
        <v>155283.32653040392</v>
      </c>
    </row>
    <row r="12" spans="1:16" x14ac:dyDescent="0.2">
      <c r="C12" s="20" t="s">
        <v>8</v>
      </c>
      <c r="D12" s="20"/>
      <c r="E12" s="20"/>
      <c r="F12" s="20"/>
      <c r="G12" s="21" t="s">
        <v>6</v>
      </c>
      <c r="H12" s="50">
        <v>17450</v>
      </c>
      <c r="I12" s="51">
        <f>I10-I11</f>
        <v>17094</v>
      </c>
      <c r="J12" s="50">
        <f t="shared" ref="J12:N12" si="0">J10-J11</f>
        <v>19886.817720000006</v>
      </c>
      <c r="K12" s="50">
        <f t="shared" si="0"/>
        <v>25358.606750833133</v>
      </c>
      <c r="L12" s="50">
        <f t="shared" si="0"/>
        <v>32182.171842562835</v>
      </c>
      <c r="M12" s="50">
        <f t="shared" si="0"/>
        <v>41438.514490523317</v>
      </c>
      <c r="N12" s="50">
        <f t="shared" si="0"/>
        <v>51761.108843467984</v>
      </c>
      <c r="O12" s="24"/>
    </row>
    <row r="13" spans="1:16" ht="6.25" customHeight="1" x14ac:dyDescent="0.2">
      <c r="C13" s="24"/>
      <c r="D13" s="24"/>
      <c r="E13" s="24"/>
      <c r="F13" s="24"/>
      <c r="G13" s="15"/>
      <c r="H13" s="26"/>
      <c r="I13" s="25"/>
      <c r="J13" s="26"/>
      <c r="K13" s="26"/>
      <c r="L13" s="26"/>
      <c r="M13" s="26"/>
      <c r="N13" s="26"/>
    </row>
    <row r="14" spans="1:16" x14ac:dyDescent="0.2">
      <c r="C14" s="18" t="s">
        <v>9</v>
      </c>
      <c r="D14" s="18"/>
      <c r="E14" s="18"/>
      <c r="F14" s="18"/>
      <c r="G14" s="15" t="s">
        <v>6</v>
      </c>
      <c r="H14" s="19">
        <v>4540</v>
      </c>
      <c r="I14" s="17">
        <v>6411</v>
      </c>
      <c r="J14" s="154">
        <f>J35*J10</f>
        <v>4412.7934104000005</v>
      </c>
      <c r="K14" s="154">
        <f>K35*K10</f>
        <v>5130.7548982720809</v>
      </c>
      <c r="L14" s="154">
        <f>L35*L10</f>
        <v>5983.6915925608309</v>
      </c>
      <c r="M14" s="154">
        <f>M35*M10</f>
        <v>7127.1750558992062</v>
      </c>
      <c r="N14" s="154">
        <f>N35*N10</f>
        <v>6211.3330612161571</v>
      </c>
    </row>
    <row r="15" spans="1:16" x14ac:dyDescent="0.2">
      <c r="C15" s="18" t="s">
        <v>10</v>
      </c>
      <c r="D15" s="18"/>
      <c r="E15" s="18"/>
      <c r="F15" s="18"/>
      <c r="G15" s="15" t="s">
        <v>6</v>
      </c>
      <c r="H15" s="19">
        <v>5150</v>
      </c>
      <c r="I15" s="17">
        <v>5834</v>
      </c>
      <c r="J15" s="255">
        <f>J36*J10</f>
        <v>5515.9917630000009</v>
      </c>
      <c r="K15" s="154">
        <f>K36*K10</f>
        <v>6092.7714416980953</v>
      </c>
      <c r="L15" s="154">
        <f>L36*L10</f>
        <v>6731.6530416309342</v>
      </c>
      <c r="M15" s="154">
        <f>M36*M10</f>
        <v>7572.6234968929057</v>
      </c>
      <c r="N15" s="154">
        <f>N36*N10</f>
        <v>8281.7774149548768</v>
      </c>
    </row>
    <row r="16" spans="1:16" x14ac:dyDescent="0.2">
      <c r="C16" s="18" t="s">
        <v>132</v>
      </c>
      <c r="D16" s="18"/>
      <c r="E16" s="18"/>
      <c r="F16" s="18"/>
      <c r="G16" s="15"/>
      <c r="H16" s="19">
        <v>684</v>
      </c>
      <c r="I16" s="17">
        <v>494</v>
      </c>
      <c r="J16" s="154">
        <v>0</v>
      </c>
      <c r="K16" s="154">
        <v>0</v>
      </c>
      <c r="L16" s="154">
        <v>0</v>
      </c>
      <c r="M16" s="154">
        <v>0</v>
      </c>
      <c r="N16" s="154">
        <v>0</v>
      </c>
      <c r="P16" s="24"/>
    </row>
    <row r="17" spans="1:16" x14ac:dyDescent="0.2">
      <c r="B17" s="60"/>
      <c r="C17" s="27" t="s">
        <v>11</v>
      </c>
      <c r="D17" s="27"/>
      <c r="E17" s="27"/>
      <c r="F17" s="27"/>
      <c r="G17" s="21" t="s">
        <v>6</v>
      </c>
      <c r="H17" s="22">
        <v>7076</v>
      </c>
      <c r="I17" s="23">
        <f>I12-SUM(I14:I16)</f>
        <v>4355</v>
      </c>
      <c r="J17" s="22">
        <f t="shared" ref="J17:N17" si="1">J12-SUM(J14:J15)</f>
        <v>9958.0325466000049</v>
      </c>
      <c r="K17" s="22">
        <f t="shared" si="1"/>
        <v>14135.080410862956</v>
      </c>
      <c r="L17" s="22">
        <f t="shared" si="1"/>
        <v>19466.827208371069</v>
      </c>
      <c r="M17" s="256">
        <f>M12-SUM(M13:M16)</f>
        <v>26738.715937731205</v>
      </c>
      <c r="N17" s="22">
        <f t="shared" si="1"/>
        <v>37267.998367296954</v>
      </c>
      <c r="P17" s="24"/>
    </row>
    <row r="18" spans="1:16" ht="6.25" customHeight="1" x14ac:dyDescent="0.2">
      <c r="C18" s="24"/>
      <c r="D18" s="24"/>
      <c r="E18" s="24"/>
      <c r="F18" s="24"/>
      <c r="G18" s="15"/>
      <c r="H18" s="26"/>
      <c r="I18" s="25"/>
      <c r="J18" s="26"/>
      <c r="K18" s="26"/>
      <c r="L18" s="26"/>
      <c r="M18" s="26"/>
      <c r="N18" s="26"/>
      <c r="P18" s="24"/>
    </row>
    <row r="19" spans="1:16" x14ac:dyDescent="0.2">
      <c r="C19" s="18" t="s">
        <v>134</v>
      </c>
      <c r="D19" s="18"/>
      <c r="E19" s="18"/>
      <c r="F19" s="18"/>
      <c r="G19" s="15" t="s">
        <v>6</v>
      </c>
      <c r="H19" s="19">
        <v>1219</v>
      </c>
      <c r="I19" s="17">
        <v>1342</v>
      </c>
      <c r="J19" s="154">
        <v>1137.5</v>
      </c>
      <c r="K19" s="154">
        <v>1421.875</v>
      </c>
      <c r="L19" s="154">
        <v>1777.34375</v>
      </c>
      <c r="M19" s="154">
        <v>2221.6796875</v>
      </c>
      <c r="N19" s="154">
        <v>2777.099609375</v>
      </c>
      <c r="P19" s="24"/>
    </row>
    <row r="20" spans="1:16" x14ac:dyDescent="0.2">
      <c r="C20" s="18" t="s">
        <v>135</v>
      </c>
      <c r="D20" s="18"/>
      <c r="E20" s="18"/>
      <c r="F20" s="18"/>
      <c r="G20" s="15"/>
      <c r="H20" s="19">
        <v>695</v>
      </c>
      <c r="I20" s="17">
        <v>-419</v>
      </c>
      <c r="J20" s="154"/>
      <c r="K20" s="154"/>
      <c r="L20" s="154"/>
      <c r="M20" s="154"/>
      <c r="N20" s="154"/>
      <c r="P20" s="24"/>
    </row>
    <row r="21" spans="1:16" x14ac:dyDescent="0.2">
      <c r="C21" s="28" t="s">
        <v>12</v>
      </c>
      <c r="D21" s="28"/>
      <c r="E21" s="28"/>
      <c r="F21" s="28"/>
      <c r="G21" s="21" t="s">
        <v>6</v>
      </c>
      <c r="H21" s="22">
        <v>8990</v>
      </c>
      <c r="I21" s="22">
        <f>SUM(I17:I20)</f>
        <v>5278</v>
      </c>
      <c r="J21" s="214">
        <f t="shared" ref="J21:N21" si="2">SUM(J17:J20)</f>
        <v>11095.532546600005</v>
      </c>
      <c r="K21" s="22">
        <f t="shared" si="2"/>
        <v>15556.955410862956</v>
      </c>
      <c r="L21" s="22">
        <f t="shared" si="2"/>
        <v>21244.170958371069</v>
      </c>
      <c r="M21" s="22">
        <f t="shared" si="2"/>
        <v>28960.395625231205</v>
      </c>
      <c r="N21" s="22">
        <f t="shared" si="2"/>
        <v>40045.097976671954</v>
      </c>
      <c r="P21" s="24"/>
    </row>
    <row r="22" spans="1:16" ht="17" x14ac:dyDescent="0.2">
      <c r="C22" s="18" t="s">
        <v>133</v>
      </c>
      <c r="D22" s="18"/>
      <c r="E22" s="18"/>
      <c r="F22" s="18"/>
      <c r="G22" s="15" t="s">
        <v>6</v>
      </c>
      <c r="H22" s="19">
        <v>1837</v>
      </c>
      <c r="I22" s="17">
        <v>-1423</v>
      </c>
      <c r="J22" s="154">
        <f>-J38*J21</f>
        <v>-2330.0618347860009</v>
      </c>
      <c r="K22" s="255">
        <f>-K38*K21</f>
        <v>-3266.9606362812206</v>
      </c>
      <c r="L22" s="154">
        <f>-L38*L21</f>
        <v>-4461.2759012579245</v>
      </c>
      <c r="M22" s="154">
        <f>-M38*M21</f>
        <v>-6081.6830812985527</v>
      </c>
      <c r="N22" s="154">
        <f>-N38*N21</f>
        <v>-8409.4705751011097</v>
      </c>
      <c r="P22" s="24"/>
    </row>
    <row r="23" spans="1:16" ht="16" thickBot="1" x14ac:dyDescent="0.25">
      <c r="C23" s="159" t="s">
        <v>13</v>
      </c>
      <c r="D23" s="159"/>
      <c r="E23" s="159"/>
      <c r="F23" s="159"/>
      <c r="G23" s="46" t="s">
        <v>6</v>
      </c>
      <c r="H23" s="160">
        <v>7153</v>
      </c>
      <c r="I23" s="161">
        <f t="shared" ref="I23:N23" si="3">SUM(I21:I22)</f>
        <v>3855</v>
      </c>
      <c r="J23" s="160">
        <f t="shared" si="3"/>
        <v>8765.4707118140032</v>
      </c>
      <c r="K23" s="160">
        <f t="shared" si="3"/>
        <v>12289.994774581735</v>
      </c>
      <c r="L23" s="160">
        <f t="shared" si="3"/>
        <v>16782.895057113143</v>
      </c>
      <c r="M23" s="160">
        <f t="shared" si="3"/>
        <v>22878.712543932652</v>
      </c>
      <c r="N23" s="160">
        <f t="shared" si="3"/>
        <v>31635.627401570844</v>
      </c>
      <c r="P23" s="24"/>
    </row>
    <row r="24" spans="1:16" ht="30" customHeight="1" thickTop="1" x14ac:dyDescent="0.2">
      <c r="C24" s="420" t="s">
        <v>136</v>
      </c>
      <c r="D24" s="420"/>
      <c r="E24" s="420"/>
      <c r="F24" s="420"/>
      <c r="G24" s="15" t="s">
        <v>6</v>
      </c>
      <c r="H24" s="19">
        <v>62</v>
      </c>
      <c r="I24" s="17">
        <v>-61</v>
      </c>
      <c r="J24" s="154">
        <f>-J40*J23</f>
        <v>0</v>
      </c>
      <c r="K24" s="154">
        <f>-K40*K23</f>
        <v>0</v>
      </c>
      <c r="L24" s="154">
        <f>-L40*L23</f>
        <v>0</v>
      </c>
      <c r="M24" s="154">
        <f>-M40*M23</f>
        <v>0</v>
      </c>
      <c r="N24" s="154">
        <f>-N40*N23</f>
        <v>0</v>
      </c>
      <c r="P24" s="24"/>
    </row>
    <row r="25" spans="1:16" ht="16" thickBot="1" x14ac:dyDescent="0.25">
      <c r="C25" s="159" t="s">
        <v>137</v>
      </c>
      <c r="D25" s="159"/>
      <c r="E25" s="159"/>
      <c r="F25" s="159"/>
      <c r="G25" s="46" t="s">
        <v>6</v>
      </c>
      <c r="H25" s="160">
        <v>7091</v>
      </c>
      <c r="I25" s="161">
        <f t="shared" ref="I25:N25" si="4">SUM(I23:I24)</f>
        <v>3794</v>
      </c>
      <c r="J25" s="160">
        <f t="shared" si="4"/>
        <v>8765.4707118140032</v>
      </c>
      <c r="K25" s="160">
        <f t="shared" si="4"/>
        <v>12289.994774581735</v>
      </c>
      <c r="L25" s="160">
        <f t="shared" si="4"/>
        <v>16782.895057113143</v>
      </c>
      <c r="M25" s="160">
        <f t="shared" si="4"/>
        <v>22878.712543932652</v>
      </c>
      <c r="N25" s="160">
        <f t="shared" si="4"/>
        <v>31635.627401570844</v>
      </c>
      <c r="P25" s="24"/>
    </row>
    <row r="26" spans="1:16" ht="15.75" customHeight="1" thickTop="1" x14ac:dyDescent="0.2">
      <c r="I26" s="116"/>
      <c r="P26" s="24"/>
    </row>
    <row r="27" spans="1:16" x14ac:dyDescent="0.2">
      <c r="C27" s="1" t="s">
        <v>14</v>
      </c>
      <c r="G27" s="15" t="s">
        <v>6</v>
      </c>
      <c r="H27" s="29">
        <v>7076</v>
      </c>
      <c r="I27" s="30">
        <f>I17</f>
        <v>4355</v>
      </c>
      <c r="J27" s="29">
        <f>J17</f>
        <v>9958.0325466000049</v>
      </c>
      <c r="K27" s="29">
        <f t="shared" ref="K27:N27" si="5">K17</f>
        <v>14135.080410862956</v>
      </c>
      <c r="L27" s="255">
        <f>L17</f>
        <v>19466.827208371069</v>
      </c>
      <c r="M27" s="29">
        <f t="shared" si="5"/>
        <v>26738.715937731205</v>
      </c>
      <c r="N27" s="29">
        <f t="shared" si="5"/>
        <v>37267.998367296954</v>
      </c>
      <c r="P27" s="24"/>
    </row>
    <row r="28" spans="1:16" ht="17" x14ac:dyDescent="0.2">
      <c r="C28" s="18" t="s">
        <v>103</v>
      </c>
      <c r="G28" s="15" t="s">
        <v>6</v>
      </c>
      <c r="H28" s="31">
        <v>5368</v>
      </c>
      <c r="I28" s="17">
        <v>6148</v>
      </c>
      <c r="J28" s="154">
        <v>6036</v>
      </c>
      <c r="K28" s="154">
        <v>8371</v>
      </c>
      <c r="L28" s="154">
        <v>11085</v>
      </c>
      <c r="M28" s="154">
        <v>13594</v>
      </c>
      <c r="N28" s="154">
        <v>17068</v>
      </c>
      <c r="P28" s="24"/>
    </row>
    <row r="29" spans="1:16" x14ac:dyDescent="0.2">
      <c r="C29" s="27" t="s">
        <v>15</v>
      </c>
      <c r="D29" s="27"/>
      <c r="E29" s="27"/>
      <c r="F29" s="27"/>
      <c r="G29" s="47" t="s">
        <v>6</v>
      </c>
      <c r="H29" s="95">
        <v>12444</v>
      </c>
      <c r="I29" s="162">
        <f>SUM(I27:I28)</f>
        <v>10503</v>
      </c>
      <c r="J29" s="95">
        <f t="shared" ref="J29:M29" si="6">SUM(J27:J28)</f>
        <v>15994.032546600005</v>
      </c>
      <c r="K29" s="95">
        <f t="shared" si="6"/>
        <v>22506.080410862956</v>
      </c>
      <c r="L29" s="95">
        <f t="shared" si="6"/>
        <v>30551.827208371069</v>
      </c>
      <c r="M29" s="95">
        <f t="shared" si="6"/>
        <v>40332.715937731205</v>
      </c>
      <c r="N29" s="256">
        <f>SUM(N27:N28)</f>
        <v>54335.998367296954</v>
      </c>
      <c r="O29" s="24"/>
      <c r="P29" s="24"/>
    </row>
    <row r="30" spans="1:16" customFormat="1" x14ac:dyDescent="0.2">
      <c r="A30" s="137" t="s">
        <v>16</v>
      </c>
      <c r="B30" s="32"/>
      <c r="C30" s="1"/>
      <c r="D30" s="1"/>
      <c r="E30" s="1"/>
      <c r="F30" s="1"/>
      <c r="I30" s="33"/>
    </row>
    <row r="31" spans="1:16" customFormat="1" x14ac:dyDescent="0.2">
      <c r="A31" s="24"/>
      <c r="B31" s="1"/>
      <c r="C31" s="242" t="s">
        <v>17</v>
      </c>
      <c r="D31" s="242"/>
      <c r="E31" s="242"/>
      <c r="F31" s="242"/>
      <c r="G31" s="15" t="s">
        <v>4</v>
      </c>
      <c r="I31" s="33"/>
    </row>
    <row r="32" spans="1:16" ht="4" customHeight="1" x14ac:dyDescent="0.2">
      <c r="G32" s="16"/>
      <c r="H32" s="253">
        <v>0</v>
      </c>
      <c r="I32" s="35"/>
      <c r="P32" s="12"/>
    </row>
    <row r="33" spans="1:16" x14ac:dyDescent="0.2">
      <c r="C33" s="36" t="s">
        <v>18</v>
      </c>
      <c r="D33" s="36"/>
      <c r="E33" s="36"/>
      <c r="F33" s="36"/>
      <c r="G33" s="37" t="s">
        <v>19</v>
      </c>
      <c r="H33" s="39">
        <v>9.4757835346634955E-3</v>
      </c>
      <c r="I33" s="163">
        <f>I10/H10-1</f>
        <v>-2.9306991503736279E-2</v>
      </c>
      <c r="J33" s="192">
        <f>'Income Statement Assumptions'!I41</f>
        <v>0.16338000000000003</v>
      </c>
      <c r="K33" s="192">
        <f>'Income Statement Assumptions'!J41</f>
        <v>0.16270000000000001</v>
      </c>
      <c r="L33" s="192">
        <f>'Income Statement Assumptions'!K41</f>
        <v>0.16624</v>
      </c>
      <c r="M33" s="192">
        <f>'Income Statement Assumptions'!L41</f>
        <v>0.19109999999999999</v>
      </c>
      <c r="N33" s="192">
        <f>'Income Statement Assumptions'!M41</f>
        <v>0.16199999999999998</v>
      </c>
      <c r="O33" s="41"/>
      <c r="P33" s="42">
        <f xml:space="preserve"> (J33 - N33) / - 4</f>
        <v>-3.4500000000001196E-4</v>
      </c>
    </row>
    <row r="34" spans="1:16" x14ac:dyDescent="0.2">
      <c r="C34" s="36" t="s">
        <v>20</v>
      </c>
      <c r="D34" s="36"/>
      <c r="E34" s="36"/>
      <c r="F34" s="36"/>
      <c r="G34" s="37" t="s">
        <v>19</v>
      </c>
      <c r="H34" s="39">
        <v>0.82137373323779306</v>
      </c>
      <c r="I34" s="163">
        <f>I11/I10</f>
        <v>0.81973488563383845</v>
      </c>
      <c r="J34" s="40">
        <f>I34</f>
        <v>0.81973488563383845</v>
      </c>
      <c r="K34" s="40">
        <f t="shared" ref="K34:M34" si="7">J34 + $P34</f>
        <v>0.80230116422537878</v>
      </c>
      <c r="L34" s="40">
        <f t="shared" si="7"/>
        <v>0.78486744281691911</v>
      </c>
      <c r="M34" s="40">
        <f t="shared" si="7"/>
        <v>0.76743372140845945</v>
      </c>
      <c r="N34" s="40">
        <v>0.75</v>
      </c>
      <c r="O34" s="41"/>
      <c r="P34" s="42">
        <f xml:space="preserve"> (J34 - N34) / - 4</f>
        <v>-1.7433721408459613E-2</v>
      </c>
    </row>
    <row r="35" spans="1:16" x14ac:dyDescent="0.2">
      <c r="C35" s="36" t="s">
        <v>21</v>
      </c>
      <c r="D35" s="36"/>
      <c r="E35" s="36"/>
      <c r="F35" s="36"/>
      <c r="G35" s="37" t="s">
        <v>19</v>
      </c>
      <c r="H35" s="39">
        <v>0.04</v>
      </c>
      <c r="I35" s="163">
        <f>I14/I10</f>
        <v>6.7607327027112529E-2</v>
      </c>
      <c r="J35" s="43">
        <v>0.04</v>
      </c>
      <c r="K35" s="43">
        <f>J35</f>
        <v>0.04</v>
      </c>
      <c r="L35" s="43">
        <f>K35</f>
        <v>0.04</v>
      </c>
      <c r="M35" s="43">
        <f>L35</f>
        <v>0.04</v>
      </c>
      <c r="N35" s="40">
        <v>0.03</v>
      </c>
      <c r="O35" s="41"/>
      <c r="P35" s="42">
        <f xml:space="preserve"> (J35 - N35) / - 4</f>
        <v>-2.5000000000000005E-3</v>
      </c>
    </row>
    <row r="36" spans="1:16" x14ac:dyDescent="0.2">
      <c r="C36" s="36" t="s">
        <v>22</v>
      </c>
      <c r="D36" s="36"/>
      <c r="E36" s="36"/>
      <c r="F36" s="36"/>
      <c r="G36" s="37" t="s">
        <v>19</v>
      </c>
      <c r="H36" s="39">
        <v>0.05</v>
      </c>
      <c r="I36" s="163">
        <f>I15/I10</f>
        <v>6.1522562139475045E-2</v>
      </c>
      <c r="J36" s="45">
        <v>0.05</v>
      </c>
      <c r="K36" s="45">
        <f>J36 + $P36</f>
        <v>4.7500000000000001E-2</v>
      </c>
      <c r="L36" s="45">
        <f>K36 + $P36</f>
        <v>4.4999999999999998E-2</v>
      </c>
      <c r="M36" s="45">
        <f>L36 + $P36</f>
        <v>4.2499999999999996E-2</v>
      </c>
      <c r="N36" s="45">
        <v>0.04</v>
      </c>
      <c r="O36" s="41"/>
      <c r="P36" s="42">
        <f xml:space="preserve"> (J36 - N36) / - 4</f>
        <v>-2.5000000000000005E-3</v>
      </c>
    </row>
    <row r="37" spans="1:16" x14ac:dyDescent="0.2">
      <c r="C37" s="36" t="s">
        <v>23</v>
      </c>
      <c r="D37" s="36"/>
      <c r="E37" s="36"/>
      <c r="F37" s="36"/>
      <c r="G37" s="37" t="s">
        <v>19</v>
      </c>
      <c r="H37" s="39">
        <v>5.4949329511720747E-2</v>
      </c>
      <c r="I37" s="163">
        <f>I28/I10</f>
        <v>6.4833855336560262E-2</v>
      </c>
      <c r="J37" s="143">
        <f t="shared" ref="J37:N37" si="8">J28/J10</f>
        <v>5.4713642254581439E-2</v>
      </c>
      <c r="K37" s="143">
        <f t="shared" si="8"/>
        <v>6.5261351718977331E-2</v>
      </c>
      <c r="L37" s="143">
        <f t="shared" si="8"/>
        <v>7.4101412671611105E-2</v>
      </c>
      <c r="M37" s="143">
        <f t="shared" si="8"/>
        <v>7.6293902666236119E-2</v>
      </c>
      <c r="N37" s="143">
        <f t="shared" si="8"/>
        <v>8.2436410180159361E-2</v>
      </c>
      <c r="O37" s="41"/>
      <c r="P37" s="41"/>
    </row>
    <row r="38" spans="1:16" x14ac:dyDescent="0.2">
      <c r="C38" s="36" t="s">
        <v>24</v>
      </c>
      <c r="D38" s="36"/>
      <c r="E38" s="36"/>
      <c r="F38" s="36"/>
      <c r="G38" s="37" t="s">
        <v>19</v>
      </c>
      <c r="H38" s="39">
        <v>0.08</v>
      </c>
      <c r="I38" s="163">
        <f>-I22/I21</f>
        <v>0.26960970064418338</v>
      </c>
      <c r="J38" s="45">
        <v>0.21</v>
      </c>
      <c r="K38" s="45">
        <f>J38</f>
        <v>0.21</v>
      </c>
      <c r="L38" s="45">
        <f>K38</f>
        <v>0.21</v>
      </c>
      <c r="M38" s="45">
        <f>L38</f>
        <v>0.21</v>
      </c>
      <c r="N38" s="45">
        <f>M38</f>
        <v>0.21</v>
      </c>
      <c r="O38" s="41"/>
      <c r="P38" s="41"/>
    </row>
    <row r="39" spans="1:16" x14ac:dyDescent="0.2">
      <c r="C39" s="36"/>
      <c r="D39" s="36"/>
      <c r="E39" s="36"/>
      <c r="F39" s="36"/>
      <c r="G39" s="37"/>
      <c r="H39" s="38"/>
      <c r="I39" s="38"/>
      <c r="J39" s="38"/>
      <c r="K39" s="143"/>
      <c r="L39" s="44"/>
      <c r="M39" s="45"/>
      <c r="N39" s="45"/>
      <c r="O39" s="45"/>
      <c r="P39" s="45"/>
    </row>
    <row r="40" spans="1:16" x14ac:dyDescent="0.2">
      <c r="C40" s="68" t="s">
        <v>104</v>
      </c>
      <c r="D40" s="36"/>
      <c r="E40" s="36"/>
      <c r="F40" s="36"/>
      <c r="G40" s="37"/>
      <c r="H40" s="38"/>
      <c r="I40" s="38"/>
      <c r="J40" s="38"/>
      <c r="K40" s="143"/>
      <c r="L40" s="44"/>
      <c r="M40" s="45"/>
      <c r="N40" s="45"/>
      <c r="O40" s="45"/>
      <c r="P40" s="45"/>
    </row>
    <row r="41" spans="1:16" x14ac:dyDescent="0.2">
      <c r="C41" s="48"/>
      <c r="D41" s="52"/>
      <c r="E41" s="53"/>
      <c r="F41" s="54"/>
      <c r="G41" s="54"/>
      <c r="H41" s="54"/>
      <c r="I41" s="55"/>
      <c r="J41" s="55"/>
      <c r="K41" s="55"/>
      <c r="L41" s="55"/>
      <c r="M41" s="55"/>
    </row>
    <row r="42" spans="1:16" s="311" customFormat="1" ht="18" thickBot="1" x14ac:dyDescent="0.25">
      <c r="A42" s="312" t="s">
        <v>175</v>
      </c>
      <c r="B42" s="313"/>
      <c r="C42" s="314" t="s">
        <v>29</v>
      </c>
      <c r="D42" s="308"/>
      <c r="E42" s="309"/>
      <c r="F42" s="310"/>
    </row>
    <row r="43" spans="1:16" ht="15" customHeight="1" x14ac:dyDescent="0.2">
      <c r="C43" s="138"/>
      <c r="D43" s="3"/>
      <c r="E43" s="3"/>
      <c r="F43" s="4"/>
    </row>
    <row r="44" spans="1:16" x14ac:dyDescent="0.2">
      <c r="C44" s="56" t="s">
        <v>30</v>
      </c>
      <c r="D44" s="56"/>
      <c r="E44" s="56"/>
      <c r="F44" s="56"/>
      <c r="G44" s="56"/>
    </row>
    <row r="45" spans="1:16" ht="4" customHeight="1" x14ac:dyDescent="0.2"/>
    <row r="46" spans="1:16" ht="16" x14ac:dyDescent="0.25">
      <c r="C46" s="1" t="s">
        <v>31</v>
      </c>
      <c r="F46" s="287">
        <v>4.3200000000000002E-2</v>
      </c>
      <c r="G46" s="57">
        <v>1</v>
      </c>
    </row>
    <row r="47" spans="1:16" x14ac:dyDescent="0.2">
      <c r="C47" s="1" t="s">
        <v>32</v>
      </c>
      <c r="F47" s="288">
        <f>'52 weeks share price data'!J14</f>
        <v>1.633921571753054</v>
      </c>
      <c r="G47" s="57">
        <v>2</v>
      </c>
    </row>
    <row r="48" spans="1:16" ht="16" x14ac:dyDescent="0.25">
      <c r="C48" s="1" t="s">
        <v>33</v>
      </c>
      <c r="F48" s="287">
        <v>4.2299999999999997E-2</v>
      </c>
      <c r="G48" s="57">
        <v>3</v>
      </c>
    </row>
    <row r="49" spans="3:16" x14ac:dyDescent="0.2">
      <c r="C49" s="59" t="s">
        <v>34</v>
      </c>
      <c r="D49" s="60"/>
      <c r="E49" s="61"/>
      <c r="F49" s="271">
        <f>F46+F47*F48</f>
        <v>0.11231488248515419</v>
      </c>
      <c r="G49" s="62"/>
    </row>
    <row r="50" spans="3:16" x14ac:dyDescent="0.2">
      <c r="G50" s="57"/>
    </row>
    <row r="51" spans="3:16" x14ac:dyDescent="0.2">
      <c r="C51" s="1" t="s">
        <v>35</v>
      </c>
      <c r="F51" s="144">
        <v>4.4499999999999998E-2</v>
      </c>
      <c r="G51" s="57">
        <v>3</v>
      </c>
    </row>
    <row r="52" spans="3:16" x14ac:dyDescent="0.2">
      <c r="C52" s="1" t="s">
        <v>36</v>
      </c>
      <c r="F52" s="63">
        <f>J38</f>
        <v>0.21</v>
      </c>
      <c r="G52" s="64"/>
      <c r="P52" s="216"/>
    </row>
    <row r="53" spans="3:16" x14ac:dyDescent="0.2">
      <c r="C53" s="59" t="s">
        <v>37</v>
      </c>
      <c r="D53" s="60"/>
      <c r="E53" s="60"/>
      <c r="F53" s="271">
        <f>F51*(1-F52)</f>
        <v>3.5154999999999999E-2</v>
      </c>
      <c r="G53" s="62"/>
      <c r="P53" s="216"/>
    </row>
    <row r="54" spans="3:16" ht="6.25" customHeight="1" x14ac:dyDescent="0.2">
      <c r="G54" s="57"/>
      <c r="P54" s="58"/>
    </row>
    <row r="55" spans="3:16" x14ac:dyDescent="0.2">
      <c r="C55" s="65" t="s">
        <v>38</v>
      </c>
      <c r="G55" s="57"/>
    </row>
    <row r="56" spans="3:16" x14ac:dyDescent="0.2">
      <c r="C56" s="18" t="s">
        <v>39</v>
      </c>
      <c r="E56" s="164">
        <v>6736</v>
      </c>
      <c r="F56" s="155">
        <f>E56/E58</f>
        <v>4.793393768265204E-3</v>
      </c>
      <c r="G56" s="57"/>
      <c r="P56" s="58"/>
    </row>
    <row r="57" spans="3:16" x14ac:dyDescent="0.2">
      <c r="C57" s="18" t="s">
        <v>40</v>
      </c>
      <c r="E57" s="164">
        <f>G116</f>
        <v>1398531.4004368</v>
      </c>
      <c r="F57" s="155">
        <f>E57/E58</f>
        <v>0.99520660623173485</v>
      </c>
      <c r="G57" s="57"/>
      <c r="P57" s="58"/>
    </row>
    <row r="58" spans="3:16" x14ac:dyDescent="0.2">
      <c r="C58" s="66" t="s">
        <v>41</v>
      </c>
      <c r="D58" s="60"/>
      <c r="E58" s="118">
        <f>SUM(E56:E57)</f>
        <v>1405267.4004368</v>
      </c>
      <c r="F58" s="165">
        <v>1</v>
      </c>
      <c r="G58" s="57"/>
      <c r="P58" s="58"/>
    </row>
    <row r="59" spans="3:16" ht="4" customHeight="1" x14ac:dyDescent="0.2">
      <c r="G59" s="67"/>
      <c r="P59" s="58"/>
    </row>
    <row r="60" spans="3:16" ht="16" thickBot="1" x14ac:dyDescent="0.25">
      <c r="C60" s="119" t="s">
        <v>30</v>
      </c>
      <c r="D60" s="119"/>
      <c r="E60" s="119"/>
      <c r="F60" s="272">
        <f>F57*F49+F56*F53</f>
        <v>0.11194502478528977</v>
      </c>
      <c r="G60" s="119"/>
      <c r="P60" s="58"/>
    </row>
    <row r="61" spans="3:16" ht="16" thickTop="1" x14ac:dyDescent="0.2">
      <c r="C61" s="68" t="s">
        <v>240</v>
      </c>
      <c r="P61" s="58"/>
    </row>
    <row r="62" spans="3:16" x14ac:dyDescent="0.2">
      <c r="C62" s="68" t="s">
        <v>263</v>
      </c>
    </row>
    <row r="63" spans="3:16" x14ac:dyDescent="0.2">
      <c r="C63" s="68" t="s">
        <v>241</v>
      </c>
    </row>
    <row r="65" spans="1:14" x14ac:dyDescent="0.2">
      <c r="A65" s="142"/>
      <c r="C65" s="319" t="s">
        <v>42</v>
      </c>
      <c r="D65" s="319"/>
      <c r="E65" s="319"/>
      <c r="F65" s="319"/>
      <c r="G65" s="320"/>
      <c r="H65" s="321"/>
      <c r="I65" s="322"/>
      <c r="J65" s="325" t="s">
        <v>2</v>
      </c>
      <c r="K65" s="325"/>
      <c r="L65" s="325"/>
      <c r="M65" s="325"/>
      <c r="N65" s="325"/>
    </row>
    <row r="66" spans="1:14" x14ac:dyDescent="0.2">
      <c r="C66" s="13" t="s">
        <v>43</v>
      </c>
      <c r="D66" s="14"/>
      <c r="E66" s="14"/>
      <c r="F66" s="14"/>
      <c r="G66" s="15" t="s">
        <v>4</v>
      </c>
      <c r="H66" s="323">
        <v>2023</v>
      </c>
      <c r="I66" s="324">
        <v>2024</v>
      </c>
      <c r="J66" s="326">
        <f>$J$8</f>
        <v>2026</v>
      </c>
      <c r="K66" s="326">
        <f>$K$8</f>
        <v>2027</v>
      </c>
      <c r="L66" s="326">
        <f>$L$8</f>
        <v>2028</v>
      </c>
      <c r="M66" s="326">
        <f>$M$8</f>
        <v>2029</v>
      </c>
      <c r="N66" s="326">
        <f>$N$8</f>
        <v>2030</v>
      </c>
    </row>
    <row r="67" spans="1:14" ht="6.25" customHeight="1" x14ac:dyDescent="0.2">
      <c r="C67" s="68"/>
      <c r="H67" s="19"/>
      <c r="I67" s="243"/>
    </row>
    <row r="68" spans="1:14" x14ac:dyDescent="0.2">
      <c r="C68" s="69" t="s">
        <v>14</v>
      </c>
      <c r="G68" s="15" t="s">
        <v>27</v>
      </c>
      <c r="H68" s="19">
        <f t="shared" ref="H68" si="9">H27</f>
        <v>7076</v>
      </c>
      <c r="I68" s="17">
        <v>7076</v>
      </c>
      <c r="J68" s="49">
        <f t="shared" ref="J68:N68" si="10">J27</f>
        <v>9958.0325466000049</v>
      </c>
      <c r="K68" s="49">
        <f t="shared" si="10"/>
        <v>14135.080410862956</v>
      </c>
      <c r="L68" s="49">
        <f t="shared" si="10"/>
        <v>19466.827208371069</v>
      </c>
      <c r="M68" s="49">
        <f t="shared" si="10"/>
        <v>26738.715937731205</v>
      </c>
      <c r="N68" s="49">
        <f t="shared" si="10"/>
        <v>37267.998367296954</v>
      </c>
    </row>
    <row r="69" spans="1:14" x14ac:dyDescent="0.2">
      <c r="C69" s="70" t="str">
        <f>"Taxes @ "&amp;TEXT(J38,"0.0%")</f>
        <v>Taxes @ 21.0%</v>
      </c>
      <c r="F69" s="69"/>
      <c r="G69" s="15" t="s">
        <v>27</v>
      </c>
      <c r="H69" s="19">
        <f t="shared" ref="H69" si="11" xml:space="preserve"> - H68 * $J$38</f>
        <v>-1485.96</v>
      </c>
      <c r="I69" s="17">
        <v>-778.36</v>
      </c>
      <c r="J69" s="49">
        <f t="shared" ref="J69:N69" si="12" xml:space="preserve"> - J68 * $J$38</f>
        <v>-2091.1868347860009</v>
      </c>
      <c r="K69" s="49">
        <f t="shared" si="12"/>
        <v>-2968.3668862812206</v>
      </c>
      <c r="L69" s="49">
        <f t="shared" si="12"/>
        <v>-4088.0337137579245</v>
      </c>
      <c r="M69" s="49">
        <f t="shared" si="12"/>
        <v>-5615.1303469235527</v>
      </c>
      <c r="N69" s="49">
        <f t="shared" si="12"/>
        <v>-7826.2796571323597</v>
      </c>
    </row>
    <row r="70" spans="1:14" x14ac:dyDescent="0.2">
      <c r="C70" s="71" t="s">
        <v>44</v>
      </c>
      <c r="G70" s="15" t="s">
        <v>27</v>
      </c>
      <c r="H70" s="19">
        <f t="shared" ref="H70" si="13">SUM(H68:H69)</f>
        <v>5590.04</v>
      </c>
      <c r="I70" s="17">
        <v>6297.64</v>
      </c>
      <c r="J70" s="72">
        <f t="shared" ref="J70:N70" si="14">SUM(J68:J69)</f>
        <v>7866.8457118140041</v>
      </c>
      <c r="K70" s="72">
        <f t="shared" si="14"/>
        <v>11166.713524581735</v>
      </c>
      <c r="L70" s="72">
        <f t="shared" si="14"/>
        <v>15378.793494613145</v>
      </c>
      <c r="M70" s="72">
        <f t="shared" si="14"/>
        <v>21123.585590807652</v>
      </c>
      <c r="N70" s="72">
        <f t="shared" si="14"/>
        <v>29441.718710164594</v>
      </c>
    </row>
    <row r="71" spans="1:14" x14ac:dyDescent="0.2">
      <c r="C71" s="73" t="s">
        <v>45</v>
      </c>
      <c r="F71" s="74"/>
      <c r="G71" s="15" t="s">
        <v>27</v>
      </c>
      <c r="H71" s="19">
        <f t="shared" ref="H71" si="15">H28</f>
        <v>5368</v>
      </c>
      <c r="I71" s="17">
        <v>5368</v>
      </c>
      <c r="J71" s="49">
        <f t="shared" ref="J71:N71" si="16">J28</f>
        <v>6036</v>
      </c>
      <c r="K71" s="49">
        <f t="shared" si="16"/>
        <v>8371</v>
      </c>
      <c r="L71" s="49">
        <f t="shared" si="16"/>
        <v>11085</v>
      </c>
      <c r="M71" s="49">
        <f t="shared" si="16"/>
        <v>13594</v>
      </c>
      <c r="N71" s="49">
        <f t="shared" si="16"/>
        <v>17068</v>
      </c>
    </row>
    <row r="72" spans="1:14" x14ac:dyDescent="0.2">
      <c r="C72" s="73" t="s">
        <v>222</v>
      </c>
      <c r="F72" s="74"/>
      <c r="G72" s="15"/>
      <c r="H72" s="19">
        <v>2703</v>
      </c>
      <c r="I72" s="17">
        <v>5570</v>
      </c>
      <c r="J72" s="49">
        <v>6513.7808000000132</v>
      </c>
      <c r="K72" s="49">
        <v>7543.9544621450659</v>
      </c>
      <c r="L72" s="49">
        <v>8731.7684238022957</v>
      </c>
      <c r="M72" s="49">
        <v>10137.169162988972</v>
      </c>
      <c r="N72" s="49">
        <v>12019.390956880619</v>
      </c>
    </row>
    <row r="73" spans="1:14" x14ac:dyDescent="0.2">
      <c r="C73" s="73" t="s">
        <v>46</v>
      </c>
      <c r="F73" s="69"/>
      <c r="G73" s="15" t="s">
        <v>27</v>
      </c>
      <c r="H73" s="19">
        <v>0</v>
      </c>
      <c r="I73" s="17">
        <f>I72-H72</f>
        <v>2867</v>
      </c>
      <c r="J73" s="154">
        <f t="shared" ref="J73:N73" si="17">J72-I72</f>
        <v>943.78080000001319</v>
      </c>
      <c r="K73" s="154">
        <f t="shared" si="17"/>
        <v>1030.1736621450527</v>
      </c>
      <c r="L73" s="154">
        <f t="shared" si="17"/>
        <v>1187.8139616572298</v>
      </c>
      <c r="M73" s="154">
        <f t="shared" si="17"/>
        <v>1405.4007391866762</v>
      </c>
      <c r="N73" s="154">
        <f t="shared" si="17"/>
        <v>1882.2217938916474</v>
      </c>
    </row>
    <row r="74" spans="1:14" x14ac:dyDescent="0.2">
      <c r="C74" s="73" t="s">
        <v>47</v>
      </c>
      <c r="F74" s="69"/>
      <c r="G74" s="15" t="s">
        <v>27</v>
      </c>
      <c r="H74" s="19">
        <v>-9949</v>
      </c>
      <c r="I74" s="17">
        <v>-11339</v>
      </c>
      <c r="J74" s="49">
        <f>J84*-J10</f>
        <v>-12804.960712592283</v>
      </c>
      <c r="K74" s="49">
        <f>K84*-K10</f>
        <v>-14888.327820531047</v>
      </c>
      <c r="L74" s="49">
        <f>L84*-L10</f>
        <v>-17363.363437416127</v>
      </c>
      <c r="M74" s="49">
        <f>M84*-M10</f>
        <v>-20681.50219030635</v>
      </c>
      <c r="N74" s="49">
        <f>N84*-N10</f>
        <v>-24031.905545135978</v>
      </c>
    </row>
    <row r="75" spans="1:14" ht="20.25" customHeight="1" thickBot="1" x14ac:dyDescent="0.25">
      <c r="C75" s="75" t="s">
        <v>48</v>
      </c>
      <c r="D75" s="75"/>
      <c r="E75" s="75"/>
      <c r="F75" s="75"/>
      <c r="G75" s="46" t="s">
        <v>27</v>
      </c>
      <c r="H75" s="282">
        <f>H70+H71+H73+H74</f>
        <v>1009.0400000000009</v>
      </c>
      <c r="I75" s="254">
        <f t="shared" ref="I75:N75" si="18">I70+I71+I73+I74</f>
        <v>3193.6399999999994</v>
      </c>
      <c r="J75" s="257">
        <f>J70+J71+J73+J74</f>
        <v>2041.6657992217333</v>
      </c>
      <c r="K75" s="258">
        <f t="shared" si="18"/>
        <v>5679.5593661957409</v>
      </c>
      <c r="L75" s="259">
        <f t="shared" si="18"/>
        <v>10288.244018854246</v>
      </c>
      <c r="M75" s="259">
        <f t="shared" si="18"/>
        <v>15441.484139687975</v>
      </c>
      <c r="N75" s="259">
        <f t="shared" si="18"/>
        <v>24360.034958920263</v>
      </c>
    </row>
    <row r="76" spans="1:14" ht="16" thickTop="1" x14ac:dyDescent="0.2">
      <c r="C76" s="74"/>
      <c r="F76" s="74"/>
      <c r="H76" s="19"/>
      <c r="I76" s="17"/>
    </row>
    <row r="77" spans="1:14" x14ac:dyDescent="0.2">
      <c r="C77" s="74" t="s">
        <v>49</v>
      </c>
      <c r="F77" s="74"/>
      <c r="G77" s="15" t="s">
        <v>19</v>
      </c>
      <c r="H77" s="19"/>
      <c r="I77" s="17"/>
      <c r="J77" s="76">
        <f>$F$60</f>
        <v>0.11194502478528977</v>
      </c>
      <c r="K77" s="76">
        <f>$F$60</f>
        <v>0.11194502478528977</v>
      </c>
      <c r="L77" s="76">
        <f>$F$60</f>
        <v>0.11194502478528977</v>
      </c>
      <c r="M77" s="76">
        <f>$F$60</f>
        <v>0.11194502478528977</v>
      </c>
      <c r="N77" s="76">
        <f>$F$60</f>
        <v>0.11194502478528977</v>
      </c>
    </row>
    <row r="78" spans="1:14" x14ac:dyDescent="0.2">
      <c r="C78" s="74" t="s">
        <v>50</v>
      </c>
      <c r="F78" s="74"/>
      <c r="G78" s="15" t="s">
        <v>51</v>
      </c>
      <c r="H78" s="19"/>
      <c r="I78" s="17"/>
      <c r="J78" s="77">
        <v>1</v>
      </c>
      <c r="K78" s="77">
        <f>J78+1</f>
        <v>2</v>
      </c>
      <c r="L78" s="77">
        <f>K78+1</f>
        <v>3</v>
      </c>
      <c r="M78" s="77">
        <f>L78+1</f>
        <v>4</v>
      </c>
      <c r="N78" s="77">
        <f>M78+1</f>
        <v>5</v>
      </c>
    </row>
    <row r="79" spans="1:14" ht="15" customHeight="1" x14ac:dyDescent="0.2">
      <c r="C79" s="74" t="s">
        <v>52</v>
      </c>
      <c r="F79" s="74"/>
      <c r="G79" s="15" t="s">
        <v>51</v>
      </c>
      <c r="H79" s="19"/>
      <c r="I79" s="17"/>
      <c r="J79" s="273">
        <f>1/(1+J77)^J78</f>
        <v>0.89932503649907902</v>
      </c>
      <c r="K79" s="273">
        <f t="shared" ref="K79:N79" si="19">1/(1+K77)^K78</f>
        <v>0.80878552127406977</v>
      </c>
      <c r="L79" s="273">
        <f t="shared" si="19"/>
        <v>0.72736106843972947</v>
      </c>
      <c r="M79" s="273">
        <f t="shared" si="19"/>
        <v>0.65413401942256877</v>
      </c>
      <c r="N79" s="273">
        <f t="shared" si="19"/>
        <v>0.58827910089249091</v>
      </c>
    </row>
    <row r="80" spans="1:14" x14ac:dyDescent="0.2">
      <c r="C80" s="74"/>
      <c r="D80" s="74"/>
      <c r="E80" s="74"/>
      <c r="H80" s="19"/>
      <c r="I80" s="17"/>
    </row>
    <row r="81" spans="1:18" ht="16" thickBot="1" x14ac:dyDescent="0.25">
      <c r="C81" s="78" t="s">
        <v>53</v>
      </c>
      <c r="D81" s="79"/>
      <c r="E81" s="75"/>
      <c r="F81" s="75"/>
      <c r="G81" s="46" t="s">
        <v>27</v>
      </c>
      <c r="H81" s="182"/>
      <c r="I81" s="157"/>
      <c r="J81" s="275">
        <f>J79*J75</f>
        <v>1836.1211694040067</v>
      </c>
      <c r="K81" s="275">
        <f t="shared" ref="K81:N81" si="20">K79*K75</f>
        <v>4593.5453825956474</v>
      </c>
      <c r="L81" s="275">
        <f t="shared" si="20"/>
        <v>7483.2681619224804</v>
      </c>
      <c r="M81" s="275">
        <f t="shared" si="20"/>
        <v>10100.800086143941</v>
      </c>
      <c r="N81" s="275">
        <f t="shared" si="20"/>
        <v>14330.49946334326</v>
      </c>
    </row>
    <row r="82" spans="1:18" customFormat="1" ht="16" thickTop="1" x14ac:dyDescent="0.2">
      <c r="A82" s="24"/>
      <c r="B82" s="1"/>
      <c r="C82" s="82"/>
      <c r="D82" s="74"/>
      <c r="E82" s="71"/>
      <c r="F82" s="71"/>
      <c r="G82" s="15"/>
      <c r="H82" s="19"/>
      <c r="I82" s="17"/>
      <c r="J82" s="150"/>
      <c r="K82" s="150"/>
      <c r="L82" s="150"/>
      <c r="M82" s="150"/>
      <c r="N82" s="150"/>
      <c r="O82" s="1"/>
      <c r="P82" s="1"/>
    </row>
    <row r="83" spans="1:18" s="151" customFormat="1" x14ac:dyDescent="0.2">
      <c r="A83" s="146"/>
      <c r="B83" s="1"/>
      <c r="C83" s="359" t="s">
        <v>107</v>
      </c>
      <c r="D83" s="34"/>
      <c r="E83" s="34"/>
      <c r="F83" s="34"/>
      <c r="G83" s="15" t="s">
        <v>4</v>
      </c>
      <c r="H83" s="19"/>
      <c r="I83" s="17"/>
      <c r="J83"/>
      <c r="K83"/>
      <c r="L83"/>
      <c r="M83"/>
      <c r="N83"/>
      <c r="O83"/>
      <c r="P83" s="1"/>
    </row>
    <row r="84" spans="1:18" s="151" customFormat="1" x14ac:dyDescent="0.2">
      <c r="A84" s="146"/>
      <c r="C84" s="147" t="s">
        <v>105</v>
      </c>
      <c r="E84" s="151" t="s">
        <v>106</v>
      </c>
      <c r="F84" s="148" t="s">
        <v>106</v>
      </c>
      <c r="G84" s="149" t="s">
        <v>19</v>
      </c>
      <c r="H84" s="181">
        <v>9.1947134014652848E-2</v>
      </c>
      <c r="I84" s="153">
        <v>0.11607124577745931</v>
      </c>
      <c r="J84" s="152">
        <f>I84</f>
        <v>0.11607124577745931</v>
      </c>
      <c r="K84" s="152">
        <f>J84</f>
        <v>0.11607124577745931</v>
      </c>
      <c r="L84" s="152">
        <f>K84</f>
        <v>0.11607124577745931</v>
      </c>
      <c r="M84" s="152">
        <f>L84</f>
        <v>0.11607124577745931</v>
      </c>
      <c r="N84" s="152">
        <f>M84</f>
        <v>0.11607124577745931</v>
      </c>
    </row>
    <row r="85" spans="1:18" s="151" customFormat="1" x14ac:dyDescent="0.2">
      <c r="A85" s="146"/>
      <c r="C85" s="147" t="s">
        <v>26</v>
      </c>
      <c r="F85" s="148"/>
      <c r="G85" s="149"/>
      <c r="H85" s="19">
        <v>12017</v>
      </c>
      <c r="I85" s="17">
        <v>13626</v>
      </c>
      <c r="J85" s="156">
        <f>J86*J11</f>
        <v>15356.932913759218</v>
      </c>
      <c r="K85" s="156">
        <f>K86*K11</f>
        <v>17475.763715223471</v>
      </c>
      <c r="L85" s="156">
        <f>L86*L11</f>
        <v>19938.064151035458</v>
      </c>
      <c r="M85" s="156">
        <f>M86*M11</f>
        <v>23220.725128915667</v>
      </c>
      <c r="N85" s="156">
        <f>N86*N11</f>
        <v>26369.524019233337</v>
      </c>
    </row>
    <row r="86" spans="1:18" x14ac:dyDescent="0.2">
      <c r="B86" s="151"/>
      <c r="C86" s="147" t="s">
        <v>112</v>
      </c>
      <c r="D86" s="151"/>
      <c r="E86" s="151"/>
      <c r="F86" s="148"/>
      <c r="G86" s="149"/>
      <c r="H86" s="181">
        <v>0.1518966541529205</v>
      </c>
      <c r="I86" s="153">
        <v>0.16981555333998</v>
      </c>
      <c r="J86" s="152">
        <f>I86</f>
        <v>0.16981555333998</v>
      </c>
      <c r="K86" s="152">
        <f>J86</f>
        <v>0.16981555333998</v>
      </c>
      <c r="L86" s="152">
        <f>K86</f>
        <v>0.16981555333998</v>
      </c>
      <c r="M86" s="152">
        <f>L86</f>
        <v>0.16981555333998</v>
      </c>
      <c r="N86" s="152">
        <f>M86</f>
        <v>0.16981555333998</v>
      </c>
      <c r="O86" s="151"/>
      <c r="P86" s="151"/>
    </row>
    <row r="87" spans="1:18" x14ac:dyDescent="0.2">
      <c r="C87" s="147" t="s">
        <v>108</v>
      </c>
      <c r="D87" s="74"/>
      <c r="E87" s="71"/>
      <c r="F87" s="71"/>
      <c r="G87" s="15"/>
      <c r="H87" s="19">
        <v>3508</v>
      </c>
      <c r="I87" s="17">
        <v>4418</v>
      </c>
      <c r="J87" s="154">
        <f>J88*J10</f>
        <v>4989.1803887673286</v>
      </c>
      <c r="K87" s="154">
        <f>K88*K10</f>
        <v>5800.9200380197735</v>
      </c>
      <c r="L87" s="154">
        <f>L88*L10</f>
        <v>6765.2649851401802</v>
      </c>
      <c r="M87" s="154">
        <f>M88*M10</f>
        <v>8058.1071238004688</v>
      </c>
      <c r="N87" s="154">
        <f>N88*N10</f>
        <v>9363.5204778561438</v>
      </c>
    </row>
    <row r="88" spans="1:18" x14ac:dyDescent="0.2">
      <c r="C88" s="147" t="s">
        <v>110</v>
      </c>
      <c r="D88" s="74"/>
      <c r="E88" s="71"/>
      <c r="F88" s="71"/>
      <c r="G88" s="15"/>
      <c r="H88" s="181">
        <v>3.6249780413958439E-2</v>
      </c>
      <c r="I88" s="153">
        <v>4.5224690347016101E-2</v>
      </c>
      <c r="J88" s="155">
        <f>I88</f>
        <v>4.5224690347016101E-2</v>
      </c>
      <c r="K88" s="155">
        <f t="shared" ref="K88:N90" si="21">J88</f>
        <v>4.5224690347016101E-2</v>
      </c>
      <c r="L88" s="155">
        <f t="shared" si="21"/>
        <v>4.5224690347016101E-2</v>
      </c>
      <c r="M88" s="155">
        <f t="shared" si="21"/>
        <v>4.5224690347016101E-2</v>
      </c>
      <c r="N88" s="155">
        <f t="shared" si="21"/>
        <v>4.5224690347016101E-2</v>
      </c>
    </row>
    <row r="89" spans="1:18" x14ac:dyDescent="0.2">
      <c r="C89" s="147" t="s">
        <v>109</v>
      </c>
      <c r="D89" s="74"/>
      <c r="E89" s="71"/>
      <c r="F89" s="71"/>
      <c r="G89" s="15"/>
      <c r="H89" s="19">
        <v>-14431</v>
      </c>
      <c r="I89" s="17">
        <v>-12474</v>
      </c>
      <c r="J89" s="154">
        <f>J90*-J11</f>
        <v>-14058.592482477055</v>
      </c>
      <c r="K89" s="154">
        <f>K90*-K11</f>
        <v>-15998.288315257409</v>
      </c>
      <c r="L89" s="154">
        <f>L90*-L11</f>
        <v>-18252.415398504047</v>
      </c>
      <c r="M89" s="154">
        <f>M90*-M11</f>
        <v>-21257.546254079982</v>
      </c>
      <c r="N89" s="154">
        <f>N90*-N11</f>
        <v>-24140.132292376078</v>
      </c>
    </row>
    <row r="90" spans="1:18" x14ac:dyDescent="0.2">
      <c r="C90" s="147" t="s">
        <v>111</v>
      </c>
      <c r="D90" s="74"/>
      <c r="E90" s="71"/>
      <c r="F90" s="71"/>
      <c r="G90" s="15"/>
      <c r="H90" s="181">
        <v>0.18240997054845601</v>
      </c>
      <c r="I90" s="153">
        <v>0.15545862412761699</v>
      </c>
      <c r="J90" s="155">
        <f>I90</f>
        <v>0.15545862412761699</v>
      </c>
      <c r="K90" s="155">
        <f t="shared" si="21"/>
        <v>0.15545862412761699</v>
      </c>
      <c r="L90" s="155">
        <f t="shared" si="21"/>
        <v>0.15545862412761699</v>
      </c>
      <c r="M90" s="155">
        <f t="shared" si="21"/>
        <v>0.15545862412761699</v>
      </c>
      <c r="N90" s="155">
        <f t="shared" si="21"/>
        <v>0.15545862412761699</v>
      </c>
    </row>
    <row r="91" spans="1:18" x14ac:dyDescent="0.2">
      <c r="C91" s="74"/>
      <c r="D91" s="74"/>
      <c r="E91" s="74"/>
    </row>
    <row r="92" spans="1:18" x14ac:dyDescent="0.2">
      <c r="C92" s="80" t="s">
        <v>54</v>
      </c>
      <c r="D92" s="81"/>
      <c r="E92" s="81"/>
      <c r="I92" s="82" t="s">
        <v>55</v>
      </c>
      <c r="R92" s="183">
        <v>0.01</v>
      </c>
    </row>
    <row r="93" spans="1:18" x14ac:dyDescent="0.2">
      <c r="C93" s="74"/>
      <c r="D93" s="74"/>
      <c r="E93" s="74"/>
      <c r="I93" s="83" t="str">
        <f>"FY"&amp;TEXT(N66,"0")&amp;"E Unlevered Free Cash Flow"</f>
        <v>FY2030E Unlevered Free Cash Flow</v>
      </c>
      <c r="J93" s="84"/>
      <c r="K93" s="84"/>
      <c r="L93" s="29">
        <f>N75</f>
        <v>24360.034958920263</v>
      </c>
      <c r="R93" s="183">
        <v>0.02</v>
      </c>
    </row>
    <row r="94" spans="1:18" x14ac:dyDescent="0.2">
      <c r="C94" s="69" t="str">
        <f>"NPV of UFCF "&amp;TEXT(J66,"0")&amp;" - "&amp;TEXT(N66,"0")</f>
        <v>NPV of UFCF 2026 - 2030</v>
      </c>
      <c r="D94" s="74"/>
      <c r="E94" s="274">
        <f>SUM(J81:N81)</f>
        <v>38344.234263409337</v>
      </c>
      <c r="I94" s="85" t="s">
        <v>56</v>
      </c>
      <c r="J94" s="86"/>
      <c r="K94" s="86"/>
      <c r="L94" s="181">
        <v>0.03</v>
      </c>
      <c r="R94" s="183">
        <v>0.03</v>
      </c>
    </row>
    <row r="95" spans="1:18" x14ac:dyDescent="0.2">
      <c r="C95" s="69" t="s">
        <v>57</v>
      </c>
      <c r="D95" s="74"/>
      <c r="E95" s="274">
        <f>L95*N79</f>
        <v>180125.81588593588</v>
      </c>
      <c r="I95" s="85" t="s">
        <v>58</v>
      </c>
      <c r="J95" s="86"/>
      <c r="K95" s="86"/>
      <c r="L95" s="29">
        <f>(L93 * (1 + L94)) / (F60 - L94)</f>
        <v>306191.08449146524</v>
      </c>
      <c r="R95" s="183">
        <v>0.04</v>
      </c>
    </row>
    <row r="96" spans="1:18" x14ac:dyDescent="0.2">
      <c r="C96" s="87" t="s">
        <v>59</v>
      </c>
      <c r="D96" s="88"/>
      <c r="E96" s="276">
        <f>SUM(E94:E95)</f>
        <v>218470.05014934522</v>
      </c>
      <c r="I96" s="85" t="s">
        <v>60</v>
      </c>
      <c r="J96" s="86"/>
      <c r="K96" s="86"/>
      <c r="L96" s="89">
        <f>IFERROR(E95/(N29*N79),0)</f>
        <v>5.6351423309036237</v>
      </c>
    </row>
    <row r="97" spans="1:16" x14ac:dyDescent="0.2">
      <c r="C97" s="1" t="s">
        <v>61</v>
      </c>
      <c r="E97" s="154">
        <f>-E56</f>
        <v>-6736</v>
      </c>
    </row>
    <row r="98" spans="1:16" x14ac:dyDescent="0.2">
      <c r="C98" s="1" t="s">
        <v>62</v>
      </c>
      <c r="E98" s="19">
        <v>16153</v>
      </c>
      <c r="G98" s="229" t="s">
        <v>63</v>
      </c>
      <c r="H98" s="229"/>
      <c r="I98" s="229"/>
      <c r="J98" s="229"/>
      <c r="K98" s="229"/>
      <c r="L98" s="229"/>
      <c r="M98" s="229"/>
      <c r="N98" s="90"/>
      <c r="P98" s="91" t="s">
        <v>64</v>
      </c>
    </row>
    <row r="99" spans="1:16" x14ac:dyDescent="0.2">
      <c r="C99" s="1" t="s">
        <v>138</v>
      </c>
      <c r="E99" s="19">
        <v>27546</v>
      </c>
      <c r="G99" s="232"/>
      <c r="H99" s="245"/>
      <c r="I99" s="246" t="s">
        <v>65</v>
      </c>
      <c r="J99" s="246"/>
      <c r="K99" s="246"/>
      <c r="L99" s="246"/>
      <c r="M99" s="246"/>
      <c r="N99" s="90"/>
      <c r="O99" s="92" t="s">
        <v>66</v>
      </c>
      <c r="P99" s="93">
        <v>2.5000000000000001E-3</v>
      </c>
    </row>
    <row r="100" spans="1:16" ht="14.5" customHeight="1" thickBot="1" x14ac:dyDescent="0.25">
      <c r="C100" s="94" t="s">
        <v>67</v>
      </c>
      <c r="D100" s="27"/>
      <c r="E100" s="276">
        <f>SUM(E96:E99)</f>
        <v>255433.05014934522</v>
      </c>
      <c r="G100" s="244"/>
      <c r="H100" s="212">
        <f>E102</f>
        <v>79.327034207871179</v>
      </c>
      <c r="I100" s="96">
        <f>J100-$P$99</f>
        <v>2.5000000000000001E-2</v>
      </c>
      <c r="J100" s="97">
        <f>K100-$P$99</f>
        <v>2.75E-2</v>
      </c>
      <c r="K100" s="167">
        <v>0.03</v>
      </c>
      <c r="L100" s="97">
        <f>K100+$P$99</f>
        <v>3.2500000000000001E-2</v>
      </c>
      <c r="M100" s="97">
        <f>L100+$P$99</f>
        <v>3.5000000000000003E-2</v>
      </c>
      <c r="N100" s="90"/>
      <c r="P100" s="91"/>
    </row>
    <row r="101" spans="1:16" x14ac:dyDescent="0.2">
      <c r="C101" s="1" t="s">
        <v>68</v>
      </c>
      <c r="E101" s="261">
        <v>3220</v>
      </c>
      <c r="G101" s="461" t="s">
        <v>69</v>
      </c>
      <c r="H101" s="96">
        <f>H102-$P$101</f>
        <v>0.10694502478528976</v>
      </c>
      <c r="I101" s="98">
        <f t="dataTable" ref="I101:M105" dt2D="1" dtr="1" r1="L94" r2="F60"/>
        <v>80.529751678415451</v>
      </c>
      <c r="J101" s="99">
        <v>82.464696290305497</v>
      </c>
      <c r="K101" s="101">
        <v>84.525376426830789</v>
      </c>
      <c r="L101" s="99">
        <v>86.724459374186537</v>
      </c>
      <c r="M101" s="99">
        <v>89.076373108238002</v>
      </c>
      <c r="N101" s="90"/>
      <c r="O101" s="92" t="s">
        <v>69</v>
      </c>
      <c r="P101" s="93">
        <v>2.5000000000000001E-3</v>
      </c>
    </row>
    <row r="102" spans="1:16" x14ac:dyDescent="0.2">
      <c r="C102" s="94" t="s">
        <v>63</v>
      </c>
      <c r="D102" s="27"/>
      <c r="E102" s="277">
        <f>E100/E101</f>
        <v>79.327034207871179</v>
      </c>
      <c r="G102" s="461"/>
      <c r="H102" s="97">
        <f>H103-$P$101</f>
        <v>0.10944502478528977</v>
      </c>
      <c r="I102" s="100">
        <v>78.121018275530403</v>
      </c>
      <c r="J102" s="233">
        <v>79.925041972575457</v>
      </c>
      <c r="K102" s="233">
        <v>81.842604793179262</v>
      </c>
      <c r="L102" s="233">
        <v>83.88477364425448</v>
      </c>
      <c r="M102" s="101">
        <v>86.064102020560867</v>
      </c>
      <c r="N102" s="90"/>
      <c r="O102" s="90"/>
      <c r="P102" s="90"/>
    </row>
    <row r="103" spans="1:16" ht="12" customHeight="1" x14ac:dyDescent="0.2">
      <c r="G103" s="461"/>
      <c r="H103" s="166">
        <v>0.11194502478528977</v>
      </c>
      <c r="I103" s="101">
        <v>75.854140836715487</v>
      </c>
      <c r="J103" s="233">
        <v>77.539179914503748</v>
      </c>
      <c r="K103" s="233">
        <v>79.327034207871179</v>
      </c>
      <c r="L103" s="233">
        <v>81.227409977454371</v>
      </c>
      <c r="M103" s="101">
        <v>83.251274937851775</v>
      </c>
      <c r="N103" s="90"/>
      <c r="O103" s="102"/>
      <c r="P103" s="90"/>
    </row>
    <row r="104" spans="1:16" x14ac:dyDescent="0.2">
      <c r="G104" s="461"/>
      <c r="H104" s="97">
        <f>H103+$P$101</f>
        <v>0.11444502478528977</v>
      </c>
      <c r="I104" s="100">
        <v>73.717185348776127</v>
      </c>
      <c r="J104" s="233">
        <v>75.293803495258857</v>
      </c>
      <c r="K104" s="233">
        <v>76.96377339043795</v>
      </c>
      <c r="L104" s="233">
        <v>78.735639032159</v>
      </c>
      <c r="M104" s="101">
        <v>80.619019878671622</v>
      </c>
      <c r="N104" s="90"/>
      <c r="O104" s="90"/>
      <c r="P104" s="90"/>
    </row>
    <row r="105" spans="1:16" x14ac:dyDescent="0.2">
      <c r="C105" s="158"/>
      <c r="G105" s="461"/>
      <c r="H105" s="97">
        <f>H104+$P$101</f>
        <v>0.11694502478528977</v>
      </c>
      <c r="I105" s="100">
        <v>71.699516308876099</v>
      </c>
      <c r="J105" s="101">
        <v>73.177094353531643</v>
      </c>
      <c r="K105" s="101">
        <v>74.739644370321543</v>
      </c>
      <c r="L105" s="101">
        <v>76.39471316016899</v>
      </c>
      <c r="M105" s="101">
        <v>78.150768483011205</v>
      </c>
      <c r="N105" s="90"/>
      <c r="O105" s="90"/>
      <c r="P105" s="90"/>
    </row>
    <row r="106" spans="1:16" ht="13.5" customHeight="1" x14ac:dyDescent="0.2">
      <c r="C106" s="68" t="s">
        <v>113</v>
      </c>
      <c r="H106" s="90"/>
      <c r="I106" s="90"/>
      <c r="J106" s="90"/>
      <c r="K106" s="90"/>
      <c r="L106" s="90"/>
      <c r="M106" s="90"/>
    </row>
    <row r="107" spans="1:16" x14ac:dyDescent="0.2">
      <c r="H107" s="90"/>
      <c r="I107" s="90"/>
      <c r="J107" s="90"/>
      <c r="K107" s="90"/>
      <c r="L107" s="90"/>
      <c r="M107" s="90"/>
    </row>
    <row r="108" spans="1:16" x14ac:dyDescent="0.2">
      <c r="A108" s="136"/>
    </row>
    <row r="109" spans="1:16" s="311" customFormat="1" ht="18" thickBot="1" x14ac:dyDescent="0.25">
      <c r="A109" s="312" t="s">
        <v>28</v>
      </c>
      <c r="B109" s="313"/>
      <c r="C109" s="314" t="s">
        <v>115</v>
      </c>
      <c r="D109" s="308"/>
      <c r="E109" s="309"/>
      <c r="F109" s="310"/>
    </row>
    <row r="111" spans="1:16" x14ac:dyDescent="0.2">
      <c r="A111" s="1"/>
      <c r="B111" s="24"/>
      <c r="D111" s="332" t="s">
        <v>70</v>
      </c>
      <c r="E111" s="333"/>
      <c r="F111" s="333"/>
      <c r="G111" s="333"/>
      <c r="I111" s="332" t="s">
        <v>71</v>
      </c>
      <c r="J111" s="333"/>
      <c r="K111" s="333"/>
      <c r="M111" s="332" t="s">
        <v>70</v>
      </c>
      <c r="N111" s="333"/>
      <c r="O111" s="333"/>
      <c r="P111" s="333"/>
    </row>
    <row r="112" spans="1:16" ht="15" customHeight="1" x14ac:dyDescent="0.2">
      <c r="A112" s="1"/>
      <c r="B112" s="24"/>
      <c r="D112" s="13" t="s">
        <v>239</v>
      </c>
      <c r="I112" s="103"/>
      <c r="J112" s="334" t="s">
        <v>83</v>
      </c>
      <c r="K112" s="335" t="s">
        <v>148</v>
      </c>
      <c r="M112" s="13" t="s">
        <v>244</v>
      </c>
    </row>
    <row r="113" spans="1:20" ht="6.25" customHeight="1" x14ac:dyDescent="0.2">
      <c r="A113" s="1"/>
      <c r="B113" s="24"/>
      <c r="D113" s="58"/>
      <c r="E113" s="104"/>
      <c r="F113" s="104"/>
      <c r="G113" s="104"/>
      <c r="H113" s="104"/>
      <c r="I113" s="104"/>
      <c r="M113" s="58"/>
      <c r="N113" s="104"/>
      <c r="O113" s="104"/>
      <c r="P113" s="104"/>
    </row>
    <row r="114" spans="1:20" ht="15" customHeight="1" x14ac:dyDescent="0.2">
      <c r="A114" s="1"/>
      <c r="B114" s="24"/>
      <c r="D114" s="58" t="s">
        <v>72</v>
      </c>
      <c r="G114" s="289">
        <v>372.7</v>
      </c>
      <c r="H114" s="104"/>
      <c r="I114" s="104" t="s">
        <v>5</v>
      </c>
      <c r="J114" s="168">
        <f>I10</f>
        <v>94827</v>
      </c>
      <c r="K114" s="168">
        <f>J10</f>
        <v>110319.83526000001</v>
      </c>
      <c r="M114" s="1" t="s">
        <v>119</v>
      </c>
      <c r="N114" s="281">
        <v>1801278.3803219199</v>
      </c>
      <c r="O114" s="1" t="s">
        <v>130</v>
      </c>
    </row>
    <row r="115" spans="1:20" ht="15" customHeight="1" x14ac:dyDescent="0.2">
      <c r="A115" s="1"/>
      <c r="B115" s="24"/>
      <c r="D115" s="58" t="s">
        <v>73</v>
      </c>
      <c r="G115" s="261">
        <f>3752431984/1000000</f>
        <v>3752.4319839999998</v>
      </c>
      <c r="H115" s="104"/>
      <c r="I115" s="104" t="s">
        <v>15</v>
      </c>
      <c r="J115" s="168">
        <f>I29</f>
        <v>10503</v>
      </c>
      <c r="K115" s="168">
        <f>J29</f>
        <v>15994.032546600005</v>
      </c>
      <c r="M115" s="1" t="s">
        <v>120</v>
      </c>
      <c r="N115" s="281">
        <v>996269.14679440006</v>
      </c>
      <c r="O115" s="1" t="s">
        <v>131</v>
      </c>
    </row>
    <row r="116" spans="1:20" ht="15" customHeight="1" x14ac:dyDescent="0.2">
      <c r="A116" s="1"/>
      <c r="B116" s="24"/>
      <c r="D116" s="58" t="s">
        <v>74</v>
      </c>
      <c r="E116" s="58"/>
      <c r="F116" s="58"/>
      <c r="G116" s="105">
        <f>G114 * G115</f>
        <v>1398531.4004368</v>
      </c>
      <c r="H116" s="104"/>
      <c r="I116" s="92" t="s">
        <v>242</v>
      </c>
      <c r="J116" s="169">
        <f>$G$120/J114</f>
        <v>14.358446438638785</v>
      </c>
      <c r="K116" s="169">
        <f t="shared" ref="K116:K117" si="22">$G$120/K114</f>
        <v>12.342009007064574</v>
      </c>
    </row>
    <row r="117" spans="1:20" ht="15" customHeight="1" x14ac:dyDescent="0.2">
      <c r="A117" s="1"/>
      <c r="B117" s="24"/>
      <c r="D117" s="58" t="s">
        <v>75</v>
      </c>
      <c r="E117" s="58"/>
      <c r="F117" s="58"/>
      <c r="G117" s="106">
        <f>-E97</f>
        <v>6736</v>
      </c>
      <c r="H117" s="104"/>
      <c r="I117" s="104" t="s">
        <v>243</v>
      </c>
      <c r="J117" s="169">
        <f t="shared" ref="J117" si="23">$G$120/J115</f>
        <v>129.63614209623915</v>
      </c>
      <c r="K117" s="169">
        <f t="shared" si="22"/>
        <v>85.129775525324959</v>
      </c>
    </row>
    <row r="118" spans="1:20" ht="15" customHeight="1" x14ac:dyDescent="0.2">
      <c r="A118" s="1"/>
      <c r="B118" s="24"/>
      <c r="D118" s="58" t="s">
        <v>76</v>
      </c>
      <c r="E118" s="58"/>
      <c r="F118" s="58"/>
      <c r="G118" s="106">
        <f>E98</f>
        <v>16153</v>
      </c>
      <c r="H118" s="104"/>
      <c r="I118" s="114" t="s">
        <v>245</v>
      </c>
      <c r="J118" s="104"/>
      <c r="K118" s="104"/>
    </row>
    <row r="119" spans="1:20" ht="15.75" customHeight="1" x14ac:dyDescent="0.2">
      <c r="A119" s="1"/>
      <c r="B119" s="24"/>
      <c r="D119" s="58" t="s">
        <v>117</v>
      </c>
      <c r="E119" s="58"/>
      <c r="F119" s="58"/>
      <c r="G119" s="106">
        <f>E99</f>
        <v>27546</v>
      </c>
      <c r="H119" s="104"/>
      <c r="I119" s="104"/>
      <c r="J119" s="104"/>
      <c r="K119" s="104"/>
    </row>
    <row r="120" spans="1:20" x14ac:dyDescent="0.2">
      <c r="A120" s="1"/>
      <c r="B120" s="24"/>
      <c r="D120" s="107" t="s">
        <v>70</v>
      </c>
      <c r="E120" s="107"/>
      <c r="F120" s="107"/>
      <c r="G120" s="280">
        <f>G116+G117-G118-G119</f>
        <v>1361568.4004368</v>
      </c>
      <c r="H120" s="104"/>
      <c r="I120" s="104"/>
      <c r="J120" s="104"/>
      <c r="K120" s="104"/>
    </row>
    <row r="121" spans="1:20" x14ac:dyDescent="0.2">
      <c r="B121" s="1" t="s">
        <v>106</v>
      </c>
    </row>
    <row r="123" spans="1:20" s="311" customFormat="1" ht="18" thickBot="1" x14ac:dyDescent="0.25">
      <c r="A123" s="312" t="s">
        <v>100</v>
      </c>
      <c r="B123" s="313"/>
      <c r="C123" s="314" t="s">
        <v>114</v>
      </c>
      <c r="D123" s="308"/>
      <c r="E123" s="309"/>
      <c r="F123" s="310"/>
    </row>
    <row r="125" spans="1:20" x14ac:dyDescent="0.2">
      <c r="A125" s="1"/>
      <c r="B125" s="24"/>
      <c r="D125" s="336"/>
      <c r="E125" s="336"/>
      <c r="F125" s="336"/>
      <c r="G125" s="336"/>
      <c r="H125" s="336"/>
      <c r="I125" s="336" t="s">
        <v>77</v>
      </c>
      <c r="J125" s="336" t="s">
        <v>78</v>
      </c>
      <c r="K125" s="337" t="s">
        <v>79</v>
      </c>
      <c r="L125" s="337"/>
      <c r="M125" s="338" t="s">
        <v>80</v>
      </c>
      <c r="N125" s="339"/>
    </row>
    <row r="126" spans="1:20" x14ac:dyDescent="0.2">
      <c r="A126" s="1"/>
      <c r="B126" s="24"/>
      <c r="D126" s="340" t="s">
        <v>81</v>
      </c>
      <c r="E126" s="341"/>
      <c r="F126" s="341"/>
      <c r="G126" s="341"/>
      <c r="H126" s="341"/>
      <c r="I126" s="341" t="s">
        <v>82</v>
      </c>
      <c r="J126" s="341" t="s">
        <v>82</v>
      </c>
      <c r="K126" s="342" t="s">
        <v>83</v>
      </c>
      <c r="L126" s="343" t="s">
        <v>148</v>
      </c>
      <c r="M126" s="342" t="s">
        <v>83</v>
      </c>
      <c r="N126" s="343" t="s">
        <v>148</v>
      </c>
    </row>
    <row r="127" spans="1:20" ht="15" customHeight="1" x14ac:dyDescent="0.2">
      <c r="A127" s="1"/>
      <c r="B127" s="24"/>
      <c r="D127" s="234" t="s">
        <v>139</v>
      </c>
      <c r="E127" s="235"/>
      <c r="F127" s="235"/>
      <c r="G127" s="236"/>
      <c r="H127" s="236"/>
      <c r="I127" s="290">
        <v>112346</v>
      </c>
      <c r="J127" s="291">
        <v>106838</v>
      </c>
      <c r="K127" s="240">
        <v>0.92</v>
      </c>
      <c r="L127" s="241">
        <v>0.72</v>
      </c>
      <c r="M127" s="238">
        <v>6.61</v>
      </c>
      <c r="N127" s="237">
        <v>5.05</v>
      </c>
      <c r="T127" s="171"/>
    </row>
    <row r="128" spans="1:20" x14ac:dyDescent="0.2">
      <c r="A128" s="1"/>
      <c r="B128" s="24"/>
      <c r="D128" s="184" t="s">
        <v>140</v>
      </c>
      <c r="E128" s="108"/>
      <c r="F128" s="108"/>
      <c r="G128" s="109"/>
      <c r="H128" s="109"/>
      <c r="I128" s="292">
        <v>18688</v>
      </c>
      <c r="J128" s="293">
        <v>21408</v>
      </c>
      <c r="K128" s="110">
        <v>3.05</v>
      </c>
      <c r="L128" s="239">
        <v>2.0699999999999998</v>
      </c>
      <c r="M128" s="111" t="s">
        <v>149</v>
      </c>
      <c r="N128" s="170" t="s">
        <v>149</v>
      </c>
      <c r="T128" s="171"/>
    </row>
    <row r="129" spans="1:21" x14ac:dyDescent="0.2">
      <c r="A129" s="1"/>
      <c r="B129" s="24"/>
      <c r="D129" s="184" t="s">
        <v>141</v>
      </c>
      <c r="E129" s="108"/>
      <c r="F129" s="108"/>
      <c r="G129" s="109"/>
      <c r="H129" s="109"/>
      <c r="I129" s="292">
        <v>68662</v>
      </c>
      <c r="J129" s="294">
        <v>61217</v>
      </c>
      <c r="K129" s="110">
        <v>0.33</v>
      </c>
      <c r="L129" s="239">
        <v>0.28999999999999998</v>
      </c>
      <c r="M129" s="111">
        <v>2.64</v>
      </c>
      <c r="N129" s="170">
        <v>2.2799999999999998</v>
      </c>
      <c r="T129" s="171"/>
    </row>
    <row r="130" spans="1:21" x14ac:dyDescent="0.2">
      <c r="A130" s="1"/>
      <c r="B130" s="24"/>
      <c r="D130" s="184" t="s">
        <v>142</v>
      </c>
      <c r="E130" s="108"/>
      <c r="F130" s="108"/>
      <c r="G130" s="109"/>
      <c r="H130" s="109"/>
      <c r="I130" s="292">
        <v>50673</v>
      </c>
      <c r="J130" s="293">
        <v>8100</v>
      </c>
      <c r="K130" s="110">
        <v>0.02</v>
      </c>
      <c r="L130" s="239">
        <v>0.01</v>
      </c>
      <c r="M130" s="111">
        <v>0.17</v>
      </c>
      <c r="N130" s="170">
        <v>0.09</v>
      </c>
      <c r="T130" s="171"/>
    </row>
    <row r="131" spans="1:21" x14ac:dyDescent="0.2">
      <c r="A131" s="1"/>
      <c r="B131" s="24"/>
      <c r="D131" s="1" t="s">
        <v>147</v>
      </c>
      <c r="E131" s="108"/>
      <c r="F131" s="108"/>
      <c r="G131" s="109"/>
      <c r="H131" s="109"/>
      <c r="I131" s="292">
        <v>4560193</v>
      </c>
      <c r="J131" s="293">
        <v>4506105</v>
      </c>
      <c r="K131" s="110">
        <v>12.4</v>
      </c>
      <c r="L131" s="239">
        <v>9.09</v>
      </c>
      <c r="M131" s="111">
        <v>18.3</v>
      </c>
      <c r="N131" s="170">
        <v>13.5</v>
      </c>
      <c r="T131" s="171"/>
    </row>
    <row r="132" spans="1:21" x14ac:dyDescent="0.2">
      <c r="A132" s="1"/>
      <c r="B132" s="24"/>
      <c r="D132" s="184" t="s">
        <v>143</v>
      </c>
      <c r="E132" s="108"/>
      <c r="F132" s="108"/>
      <c r="G132" s="109"/>
      <c r="H132" s="109"/>
      <c r="I132" s="295">
        <v>103.6</v>
      </c>
      <c r="J132" s="294">
        <v>103.6</v>
      </c>
      <c r="K132" s="110">
        <v>0.97</v>
      </c>
      <c r="L132" s="239">
        <v>0.81</v>
      </c>
      <c r="M132" s="111" t="s">
        <v>149</v>
      </c>
      <c r="N132" s="170" t="s">
        <v>149</v>
      </c>
      <c r="T132" s="171"/>
    </row>
    <row r="133" spans="1:21" x14ac:dyDescent="0.2">
      <c r="A133" s="1"/>
      <c r="B133" s="24"/>
      <c r="D133" s="184" t="s">
        <v>144</v>
      </c>
      <c r="E133" s="108"/>
      <c r="F133" s="108"/>
      <c r="G133" s="109"/>
      <c r="H133" s="109"/>
      <c r="I133" s="292">
        <v>2271</v>
      </c>
      <c r="J133" s="293">
        <v>4379</v>
      </c>
      <c r="K133" s="110">
        <v>2.4500000000000002</v>
      </c>
      <c r="L133" s="239">
        <v>1.06</v>
      </c>
      <c r="M133" s="111" t="s">
        <v>149</v>
      </c>
      <c r="N133" s="170" t="s">
        <v>149</v>
      </c>
      <c r="R133" s="171"/>
      <c r="S133" s="171"/>
      <c r="T133" s="171"/>
      <c r="U133" s="171"/>
    </row>
    <row r="134" spans="1:21" x14ac:dyDescent="0.2">
      <c r="A134" s="1"/>
      <c r="B134" s="24"/>
      <c r="D134" s="184" t="s">
        <v>146</v>
      </c>
      <c r="E134" s="108"/>
      <c r="F134" s="108"/>
      <c r="G134" s="109"/>
      <c r="H134" s="109"/>
      <c r="I134" s="292">
        <v>4683434</v>
      </c>
      <c r="J134" s="293">
        <v>4629571</v>
      </c>
      <c r="K134" s="110">
        <v>9.52</v>
      </c>
      <c r="L134" s="239">
        <v>8.0500000000000007</v>
      </c>
      <c r="M134" s="111">
        <v>20.399999999999999</v>
      </c>
      <c r="N134" s="170">
        <v>16.5</v>
      </c>
      <c r="R134" s="171"/>
      <c r="S134" s="171"/>
      <c r="T134" s="171"/>
      <c r="U134" s="171"/>
    </row>
    <row r="135" spans="1:21" x14ac:dyDescent="0.2">
      <c r="A135" s="1"/>
      <c r="B135" s="24"/>
      <c r="D135" s="184" t="s">
        <v>145</v>
      </c>
      <c r="E135" s="108"/>
      <c r="F135" s="108"/>
      <c r="G135" s="109"/>
      <c r="H135" s="109"/>
      <c r="I135" s="292">
        <v>1535645</v>
      </c>
      <c r="J135" s="294">
        <v>1535756</v>
      </c>
      <c r="K135" s="110">
        <v>6.07</v>
      </c>
      <c r="L135" s="239">
        <v>5.0999999999999996</v>
      </c>
      <c r="M135" s="111">
        <v>10.6</v>
      </c>
      <c r="N135" s="170">
        <v>8.68</v>
      </c>
      <c r="R135" s="171"/>
      <c r="S135" s="171"/>
      <c r="T135" s="171"/>
      <c r="U135" s="171"/>
    </row>
    <row r="136" spans="1:21" x14ac:dyDescent="0.2">
      <c r="A136" s="1"/>
      <c r="B136" s="24"/>
      <c r="E136" s="58"/>
      <c r="F136" s="58"/>
      <c r="G136" s="104"/>
      <c r="H136" s="104"/>
      <c r="I136" s="248"/>
      <c r="J136" s="248"/>
      <c r="K136" s="249"/>
      <c r="L136" s="250"/>
      <c r="M136" s="251"/>
      <c r="N136" s="252"/>
      <c r="R136" s="171"/>
      <c r="S136" s="171"/>
      <c r="T136" s="171"/>
      <c r="U136" s="171"/>
    </row>
    <row r="137" spans="1:21" x14ac:dyDescent="0.2">
      <c r="A137" s="1"/>
      <c r="B137" s="24"/>
      <c r="R137" s="171"/>
      <c r="S137" s="171"/>
      <c r="T137" s="171"/>
      <c r="U137" s="171"/>
    </row>
    <row r="138" spans="1:21" x14ac:dyDescent="0.2">
      <c r="A138" s="1"/>
      <c r="B138" s="24"/>
      <c r="D138" s="58"/>
      <c r="E138" s="58"/>
      <c r="F138" s="58"/>
      <c r="G138" s="104"/>
      <c r="H138" s="104"/>
      <c r="I138" s="104"/>
      <c r="J138" s="104"/>
      <c r="K138" s="112"/>
      <c r="L138" s="113"/>
      <c r="M138" s="113"/>
      <c r="N138" s="113"/>
      <c r="T138" s="172"/>
    </row>
    <row r="139" spans="1:21" x14ac:dyDescent="0.2">
      <c r="A139" s="1"/>
      <c r="B139" s="24"/>
      <c r="D139" s="114" t="s">
        <v>84</v>
      </c>
      <c r="E139" s="58"/>
      <c r="F139" s="58"/>
      <c r="J139" s="115" t="s">
        <v>85</v>
      </c>
      <c r="K139" s="262">
        <f>MAX(K127:K130,K132:K133)</f>
        <v>3.05</v>
      </c>
      <c r="L139" s="262">
        <f>MAX(L127:L130,L132:L133)</f>
        <v>2.0699999999999998</v>
      </c>
      <c r="M139" s="262">
        <f>MAX(M127:M130,M132:M133)</f>
        <v>6.61</v>
      </c>
      <c r="N139" s="262">
        <f>MAX(N127:N130,N132:N133)</f>
        <v>5.05</v>
      </c>
    </row>
    <row r="140" spans="1:21" x14ac:dyDescent="0.2">
      <c r="A140" s="1"/>
      <c r="B140" s="24"/>
      <c r="D140" s="114" t="s">
        <v>118</v>
      </c>
      <c r="E140" s="58"/>
      <c r="F140" s="58"/>
      <c r="J140" s="115" t="s">
        <v>86</v>
      </c>
      <c r="K140" s="262">
        <f>AVERAGE(K127:K130,K132:K133)</f>
        <v>1.2899999999999998</v>
      </c>
      <c r="L140" s="262">
        <f>AVERAGE(L127:L130,L132:L133)</f>
        <v>0.82666666666666666</v>
      </c>
      <c r="M140" s="262">
        <f>AVERAGE(M127:M130,M132:M133)</f>
        <v>3.14</v>
      </c>
      <c r="N140" s="262">
        <f>AVERAGE(N127:N130,N132:N133)</f>
        <v>2.4733333333333332</v>
      </c>
    </row>
    <row r="141" spans="1:21" x14ac:dyDescent="0.2">
      <c r="A141" s="1"/>
      <c r="B141" s="24"/>
      <c r="D141" s="114"/>
      <c r="E141" s="58"/>
      <c r="F141" s="58"/>
      <c r="J141" s="115" t="s">
        <v>87</v>
      </c>
      <c r="K141" s="262">
        <f>MEDIAN(K127:K130,K132:K133)</f>
        <v>0.94500000000000006</v>
      </c>
      <c r="L141" s="262">
        <f>MEDIAN(L127:L130,L132:L133)</f>
        <v>0.76500000000000001</v>
      </c>
      <c r="M141" s="262">
        <f>MEDIAN(M127:M130,M132:M133)</f>
        <v>2.64</v>
      </c>
      <c r="N141" s="262">
        <f>MEDIAN(N127:N130,N132:N133)</f>
        <v>2.2799999999999998</v>
      </c>
    </row>
    <row r="142" spans="1:21" x14ac:dyDescent="0.2">
      <c r="A142" s="1"/>
      <c r="B142" s="24"/>
      <c r="D142" s="58"/>
      <c r="E142" s="58"/>
      <c r="F142" s="58"/>
      <c r="J142" s="115" t="s">
        <v>88</v>
      </c>
      <c r="K142" s="262">
        <f>MIN(K127:K130,K132:K133)</f>
        <v>0.02</v>
      </c>
      <c r="L142" s="262">
        <f>MIN(L127:L130,L132:L133)</f>
        <v>0.01</v>
      </c>
      <c r="M142" s="262">
        <f>MIN(M127:M130,M132:M133)</f>
        <v>0.17</v>
      </c>
      <c r="N142" s="262">
        <f>MIN(N127:N130,N132:N133)</f>
        <v>0.09</v>
      </c>
    </row>
    <row r="143" spans="1:21" x14ac:dyDescent="0.2">
      <c r="A143" s="1"/>
      <c r="B143" s="24"/>
      <c r="H143" s="104"/>
      <c r="I143" s="104"/>
      <c r="J143" s="104"/>
      <c r="K143" s="104"/>
    </row>
    <row r="144" spans="1:21" x14ac:dyDescent="0.2">
      <c r="A144" s="1"/>
      <c r="B144" s="24"/>
      <c r="D144" s="344" t="str">
        <f>C2</f>
        <v>Tesla Inc</v>
      </c>
      <c r="E144" s="344"/>
      <c r="F144" s="344"/>
      <c r="G144" s="344"/>
      <c r="H144" s="345"/>
      <c r="I144" s="346">
        <f>G116</f>
        <v>1398531.4004368</v>
      </c>
      <c r="J144" s="346">
        <f>G120</f>
        <v>1361568.4004368</v>
      </c>
      <c r="K144" s="346">
        <f>K140*J114</f>
        <v>122326.82999999999</v>
      </c>
      <c r="L144" s="346">
        <f>L140*K114</f>
        <v>91197.730481600011</v>
      </c>
      <c r="M144" s="346">
        <f>M140*J115</f>
        <v>32979.42</v>
      </c>
      <c r="N144" s="346">
        <f>N140*K115</f>
        <v>39558.573831924012</v>
      </c>
    </row>
    <row r="145" spans="1:14" x14ac:dyDescent="0.2">
      <c r="A145" s="1"/>
      <c r="B145" s="24"/>
      <c r="D145" s="344"/>
      <c r="E145" s="344"/>
      <c r="F145" s="344"/>
      <c r="G145" s="344"/>
      <c r="H145" s="345"/>
      <c r="I145" s="346"/>
      <c r="J145" s="346"/>
      <c r="K145" s="346"/>
      <c r="L145" s="346"/>
      <c r="M145" s="346"/>
      <c r="N145" s="346"/>
    </row>
    <row r="146" spans="1:14" s="311" customFormat="1" ht="18" thickBot="1" x14ac:dyDescent="0.25">
      <c r="A146" s="312" t="s">
        <v>156</v>
      </c>
      <c r="B146" s="313"/>
      <c r="C146" s="314" t="s">
        <v>116</v>
      </c>
      <c r="D146" s="308"/>
      <c r="E146" s="309"/>
      <c r="F146" s="310"/>
    </row>
    <row r="147" spans="1:14" ht="17" x14ac:dyDescent="0.2">
      <c r="A147" s="347"/>
      <c r="B147" s="348"/>
      <c r="C147" s="349"/>
      <c r="D147" s="350"/>
      <c r="E147" s="3"/>
      <c r="F147" s="4"/>
    </row>
    <row r="148" spans="1:14" x14ac:dyDescent="0.2">
      <c r="D148" s="430" t="s">
        <v>182</v>
      </c>
      <c r="E148" s="430"/>
      <c r="F148" s="430"/>
      <c r="G148" s="430"/>
      <c r="H148" s="430"/>
    </row>
    <row r="149" spans="1:14" x14ac:dyDescent="0.2">
      <c r="D149" s="435" t="s">
        <v>262</v>
      </c>
      <c r="E149" s="436"/>
      <c r="F149" s="351" t="s">
        <v>129</v>
      </c>
      <c r="G149" s="351" t="s">
        <v>155</v>
      </c>
      <c r="H149" s="351" t="s">
        <v>128</v>
      </c>
    </row>
    <row r="150" spans="1:14" x14ac:dyDescent="0.2">
      <c r="D150" s="431" t="s">
        <v>70</v>
      </c>
      <c r="E150" s="432"/>
      <c r="F150" s="352">
        <f>N115</f>
        <v>996269.14679440006</v>
      </c>
      <c r="G150" s="353">
        <f>H150-F150</f>
        <v>805009.23352751986</v>
      </c>
      <c r="H150" s="352">
        <f>N114</f>
        <v>1801278.3803219199</v>
      </c>
    </row>
    <row r="151" spans="1:14" x14ac:dyDescent="0.2">
      <c r="D151" s="431" t="s">
        <v>150</v>
      </c>
      <c r="E151" s="432"/>
      <c r="F151" s="352">
        <f>I105*G115+G117-G118-G119</f>
        <v>232084.55823475629</v>
      </c>
      <c r="G151" s="353">
        <f t="shared" ref="G151:G155" si="24">H151-F151</f>
        <v>65205.47323531349</v>
      </c>
      <c r="H151" s="352">
        <f>M101*G115+G117-G118-G119</f>
        <v>297290.03147006978</v>
      </c>
    </row>
    <row r="152" spans="1:14" x14ac:dyDescent="0.2">
      <c r="D152" s="431" t="s">
        <v>151</v>
      </c>
      <c r="E152" s="432"/>
      <c r="F152" s="352">
        <f>K140*J114</f>
        <v>122326.82999999999</v>
      </c>
      <c r="G152" s="353">
        <f t="shared" si="24"/>
        <v>166895.51999999999</v>
      </c>
      <c r="H152" s="352">
        <f>K139*J114</f>
        <v>289222.34999999998</v>
      </c>
      <c r="I152" s="1" t="s">
        <v>194</v>
      </c>
    </row>
    <row r="153" spans="1:14" x14ac:dyDescent="0.2">
      <c r="D153" s="431" t="s">
        <v>152</v>
      </c>
      <c r="E153" s="432"/>
      <c r="F153" s="352">
        <f>L140*K114</f>
        <v>91197.730481600011</v>
      </c>
      <c r="G153" s="353">
        <f t="shared" si="24"/>
        <v>137164.3285066</v>
      </c>
      <c r="H153" s="352">
        <f>L139*K114</f>
        <v>228362.05898820001</v>
      </c>
      <c r="I153" s="1" t="s">
        <v>194</v>
      </c>
    </row>
    <row r="154" spans="1:14" x14ac:dyDescent="0.2">
      <c r="D154" s="431" t="s">
        <v>153</v>
      </c>
      <c r="E154" s="432"/>
      <c r="F154" s="352">
        <f>M140*J115</f>
        <v>32979.42</v>
      </c>
      <c r="G154" s="353">
        <f t="shared" si="24"/>
        <v>36445.410000000003</v>
      </c>
      <c r="H154" s="352">
        <f>M139*J115</f>
        <v>69424.83</v>
      </c>
      <c r="I154" s="1" t="s">
        <v>194</v>
      </c>
    </row>
    <row r="155" spans="1:14" x14ac:dyDescent="0.2">
      <c r="D155" s="431" t="s">
        <v>154</v>
      </c>
      <c r="E155" s="432"/>
      <c r="F155" s="352">
        <f>N140*K115</f>
        <v>39558.573831924012</v>
      </c>
      <c r="G155" s="353">
        <f t="shared" si="24"/>
        <v>41211.290528406003</v>
      </c>
      <c r="H155" s="352">
        <f>N139*K115</f>
        <v>80769.864360330015</v>
      </c>
      <c r="I155" s="1" t="s">
        <v>194</v>
      </c>
    </row>
    <row r="163" spans="2:16" x14ac:dyDescent="0.2">
      <c r="P163" s="215"/>
    </row>
    <row r="176" spans="2:16" ht="18" thickBot="1" x14ac:dyDescent="0.25">
      <c r="B176" s="227"/>
      <c r="C176" s="222" t="s">
        <v>210</v>
      </c>
      <c r="D176" s="223"/>
      <c r="E176" s="225"/>
      <c r="F176" s="226"/>
      <c r="G176" s="224"/>
      <c r="H176" s="224"/>
      <c r="I176" s="224"/>
      <c r="J176" s="224"/>
      <c r="K176" s="224"/>
      <c r="L176" s="224"/>
      <c r="M176" s="224"/>
      <c r="N176" s="224"/>
      <c r="O176" s="224"/>
      <c r="P176" s="224"/>
    </row>
    <row r="178" spans="3:10" ht="15" customHeight="1" x14ac:dyDescent="0.2"/>
    <row r="179" spans="3:10" ht="15" customHeight="1" thickBot="1" x14ac:dyDescent="0.25">
      <c r="C179" s="24" t="s">
        <v>211</v>
      </c>
    </row>
    <row r="180" spans="3:10" ht="15" customHeight="1" x14ac:dyDescent="0.2">
      <c r="C180" s="437"/>
      <c r="D180" s="438"/>
      <c r="E180" s="438"/>
      <c r="F180" s="438"/>
      <c r="G180" s="438"/>
      <c r="H180" s="438"/>
      <c r="I180" s="438"/>
      <c r="J180" s="439"/>
    </row>
    <row r="181" spans="3:10" ht="15" customHeight="1" x14ac:dyDescent="0.2">
      <c r="C181" s="440"/>
      <c r="D181" s="462"/>
      <c r="E181" s="462"/>
      <c r="F181" s="462"/>
      <c r="G181" s="462"/>
      <c r="H181" s="462"/>
      <c r="I181" s="462"/>
      <c r="J181" s="442"/>
    </row>
    <row r="182" spans="3:10" ht="15" customHeight="1" x14ac:dyDescent="0.2">
      <c r="C182" s="440"/>
      <c r="D182" s="462"/>
      <c r="E182" s="462"/>
      <c r="F182" s="462"/>
      <c r="G182" s="462"/>
      <c r="H182" s="462"/>
      <c r="I182" s="462"/>
      <c r="J182" s="442"/>
    </row>
    <row r="183" spans="3:10" ht="15" customHeight="1" x14ac:dyDescent="0.2">
      <c r="C183" s="440"/>
      <c r="D183" s="462"/>
      <c r="E183" s="462"/>
      <c r="F183" s="462"/>
      <c r="G183" s="462"/>
      <c r="H183" s="462"/>
      <c r="I183" s="462"/>
      <c r="J183" s="442"/>
    </row>
    <row r="184" spans="3:10" ht="16" customHeight="1" x14ac:dyDescent="0.2">
      <c r="C184" s="440"/>
      <c r="D184" s="462"/>
      <c r="E184" s="462"/>
      <c r="F184" s="462"/>
      <c r="G184" s="462"/>
      <c r="H184" s="462"/>
      <c r="I184" s="462"/>
      <c r="J184" s="442"/>
    </row>
    <row r="185" spans="3:10" x14ac:dyDescent="0.2">
      <c r="C185" s="440"/>
      <c r="D185" s="462"/>
      <c r="E185" s="462"/>
      <c r="F185" s="462"/>
      <c r="G185" s="462"/>
      <c r="H185" s="462"/>
      <c r="I185" s="462"/>
      <c r="J185" s="442"/>
    </row>
    <row r="186" spans="3:10" ht="16" thickBot="1" x14ac:dyDescent="0.25">
      <c r="C186" s="443"/>
      <c r="D186" s="444"/>
      <c r="E186" s="444"/>
      <c r="F186" s="444"/>
      <c r="G186" s="444"/>
      <c r="H186" s="444"/>
      <c r="I186" s="444"/>
      <c r="J186" s="445"/>
    </row>
  </sheetData>
  <sheetProtection formatCells="0" formatColumns="0" formatRows="0" insertColumns="0" insertRows="0" insertHyperlinks="0" deleteColumns="0" deleteRows="0" selectLockedCells="1" sort="0" autoFilter="0" pivotTables="0"/>
  <mergeCells count="11">
    <mergeCell ref="D152:E152"/>
    <mergeCell ref="D153:E153"/>
    <mergeCell ref="D154:E154"/>
    <mergeCell ref="D155:E155"/>
    <mergeCell ref="C180:J186"/>
    <mergeCell ref="D151:E151"/>
    <mergeCell ref="C24:F24"/>
    <mergeCell ref="G101:G105"/>
    <mergeCell ref="D148:H148"/>
    <mergeCell ref="D149:E149"/>
    <mergeCell ref="D150:E15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765-01CD-461B-8D01-5C5E94E64ED9}">
  <dimension ref="A2:N257"/>
  <sheetViews>
    <sheetView showGridLines="0" workbookViewId="0"/>
  </sheetViews>
  <sheetFormatPr baseColWidth="10" defaultColWidth="8.83203125" defaultRowHeight="15" x14ac:dyDescent="0.2"/>
  <cols>
    <col min="1" max="1" width="2.83203125" style="296" customWidth="1"/>
    <col min="2" max="2" width="9.1640625" style="296"/>
    <col min="3" max="3" width="12.5" style="296" bestFit="1" customWidth="1"/>
    <col min="4" max="4" width="15" style="296" bestFit="1" customWidth="1"/>
    <col min="5" max="5" width="16.83203125" style="296" customWidth="1"/>
    <col min="6" max="6" width="16" style="296" bestFit="1" customWidth="1"/>
    <col min="7" max="7" width="20.33203125" customWidth="1"/>
    <col min="8" max="8" width="13.33203125" customWidth="1"/>
    <col min="9" max="9" width="33.6640625" bestFit="1" customWidth="1"/>
    <col min="10" max="10" width="10.83203125" bestFit="1" customWidth="1"/>
    <col min="12" max="12" width="22.83203125" bestFit="1" customWidth="1"/>
  </cols>
  <sheetData>
    <row r="2" spans="2:14" x14ac:dyDescent="0.2">
      <c r="B2" s="297" t="s">
        <v>257</v>
      </c>
    </row>
    <row r="4" spans="2:14" ht="16" thickBot="1" x14ac:dyDescent="0.25">
      <c r="B4" s="365" t="s">
        <v>246</v>
      </c>
      <c r="C4" s="365" t="s">
        <v>127</v>
      </c>
      <c r="D4" s="365" t="s">
        <v>258</v>
      </c>
      <c r="E4" s="365" t="s">
        <v>247</v>
      </c>
      <c r="F4" s="365" t="s">
        <v>259</v>
      </c>
      <c r="G4" s="365" t="s">
        <v>248</v>
      </c>
      <c r="I4" s="366" t="s">
        <v>249</v>
      </c>
      <c r="J4" s="367"/>
      <c r="K4" s="298"/>
      <c r="L4" s="298"/>
      <c r="M4" s="298"/>
      <c r="N4" s="298"/>
    </row>
    <row r="5" spans="2:14" x14ac:dyDescent="0.2">
      <c r="B5" s="299">
        <v>1</v>
      </c>
      <c r="C5" s="300" vm="1">
        <v>45775</v>
      </c>
      <c r="D5" s="301" vm="2">
        <v>285.88</v>
      </c>
      <c r="E5" s="302" vm="3">
        <v>472.41</v>
      </c>
      <c r="F5" s="299"/>
      <c r="G5" s="299"/>
      <c r="I5" s="298"/>
      <c r="J5" s="298"/>
      <c r="K5" s="298"/>
      <c r="L5" s="298"/>
      <c r="M5" s="298"/>
      <c r="N5" s="298"/>
    </row>
    <row r="6" spans="2:14" x14ac:dyDescent="0.2">
      <c r="B6" s="299">
        <v>2</v>
      </c>
      <c r="C6" s="300" vm="4">
        <v>45776</v>
      </c>
      <c r="D6" s="301" vm="5">
        <v>292.02999999999997</v>
      </c>
      <c r="E6" s="302" vm="6">
        <v>475.53</v>
      </c>
      <c r="F6" s="303">
        <f t="shared" ref="F6:G69" si="0">(D6-D5)/D5</f>
        <v>2.1512522736812568E-2</v>
      </c>
      <c r="G6" s="303">
        <f t="shared" si="0"/>
        <v>6.6044325903345559E-3</v>
      </c>
      <c r="I6" s="304" t="s">
        <v>250</v>
      </c>
      <c r="J6" s="304"/>
      <c r="K6" s="305"/>
      <c r="L6" s="304"/>
      <c r="M6" s="304"/>
      <c r="N6" s="304"/>
    </row>
    <row r="7" spans="2:14" x14ac:dyDescent="0.2">
      <c r="B7" s="299">
        <v>3</v>
      </c>
      <c r="C7" s="300" vm="7">
        <v>45777</v>
      </c>
      <c r="D7" s="301" vm="8">
        <v>282.16000000000003</v>
      </c>
      <c r="E7" s="302" vm="9">
        <v>475.47</v>
      </c>
      <c r="F7" s="303">
        <f t="shared" si="0"/>
        <v>-3.3797897476286504E-2</v>
      </c>
      <c r="G7" s="303">
        <f t="shared" si="0"/>
        <v>-1.2617500473144792E-4</v>
      </c>
      <c r="I7" s="304"/>
      <c r="J7" s="304"/>
      <c r="K7" s="304"/>
      <c r="L7" s="304"/>
      <c r="M7" s="304"/>
      <c r="N7" s="304"/>
    </row>
    <row r="8" spans="2:14" x14ac:dyDescent="0.2">
      <c r="B8" s="299">
        <v>4</v>
      </c>
      <c r="C8" s="300" vm="10">
        <v>45778</v>
      </c>
      <c r="D8" s="301" vm="11">
        <v>280.52</v>
      </c>
      <c r="E8" s="302" vm="12">
        <v>481.68</v>
      </c>
      <c r="F8" s="303">
        <f t="shared" si="0"/>
        <v>-5.8123050751348283E-3</v>
      </c>
      <c r="G8" s="303">
        <f t="shared" si="0"/>
        <v>1.3060760931288997E-2</v>
      </c>
      <c r="I8" s="305" t="s">
        <v>261</v>
      </c>
      <c r="J8" s="360">
        <f>_xlfn.COVARIANCE.S(F6:F256,G6:G256)</f>
        <v>1.7136054187961191E-4</v>
      </c>
      <c r="K8" s="304"/>
      <c r="L8" s="304" t="s">
        <v>251</v>
      </c>
      <c r="M8" s="304"/>
      <c r="N8" s="304"/>
    </row>
    <row r="9" spans="2:14" x14ac:dyDescent="0.2">
      <c r="B9" s="299">
        <v>5</v>
      </c>
      <c r="C9" s="300" vm="13">
        <v>45779</v>
      </c>
      <c r="D9" s="301" vm="14">
        <v>287.20999999999998</v>
      </c>
      <c r="E9" s="302" vm="15">
        <v>488.83</v>
      </c>
      <c r="F9" s="303">
        <f t="shared" si="0"/>
        <v>2.3848566947098238E-2</v>
      </c>
      <c r="G9" s="303">
        <f t="shared" si="0"/>
        <v>1.4843879754193608E-2</v>
      </c>
      <c r="I9" s="305" t="s">
        <v>252</v>
      </c>
      <c r="J9" s="361">
        <f>_xlfn.VAR.S(G6:G256)</f>
        <v>1.0487684650356693E-4</v>
      </c>
      <c r="K9" s="304"/>
      <c r="L9" s="304" t="s">
        <v>253</v>
      </c>
      <c r="M9" s="304"/>
      <c r="N9" s="304"/>
    </row>
    <row r="10" spans="2:14" x14ac:dyDescent="0.2">
      <c r="B10" s="299">
        <v>6</v>
      </c>
      <c r="C10" s="300" vm="16">
        <v>45782</v>
      </c>
      <c r="D10" s="301" vm="17">
        <v>280.26</v>
      </c>
      <c r="E10" s="302" vm="18">
        <v>485.93</v>
      </c>
      <c r="F10" s="303">
        <f t="shared" si="0"/>
        <v>-2.4198321785453114E-2</v>
      </c>
      <c r="G10" s="303">
        <f t="shared" si="0"/>
        <v>-5.9325327823578286E-3</v>
      </c>
      <c r="I10" s="305" t="s">
        <v>260</v>
      </c>
      <c r="J10" s="362">
        <f>J8/J9</f>
        <v>1.6339215717530546</v>
      </c>
      <c r="K10" s="304"/>
      <c r="L10" s="306" t="s">
        <v>254</v>
      </c>
      <c r="M10" s="304"/>
      <c r="N10" s="304"/>
    </row>
    <row r="11" spans="2:14" x14ac:dyDescent="0.2">
      <c r="B11" s="299">
        <v>7</v>
      </c>
      <c r="C11" s="300" vm="19">
        <v>45783</v>
      </c>
      <c r="D11" s="301" vm="20">
        <v>275.35000000000002</v>
      </c>
      <c r="E11" s="302" vm="21">
        <v>481.41</v>
      </c>
      <c r="F11" s="303">
        <f t="shared" si="0"/>
        <v>-1.7519446228501993E-2</v>
      </c>
      <c r="G11" s="303">
        <f t="shared" si="0"/>
        <v>-9.3017512810486726E-3</v>
      </c>
      <c r="I11" s="304"/>
      <c r="J11" s="363"/>
      <c r="K11" s="304"/>
      <c r="L11" s="304"/>
      <c r="M11" s="304"/>
      <c r="N11" s="304"/>
    </row>
    <row r="12" spans="2:14" x14ac:dyDescent="0.2">
      <c r="B12" s="299">
        <v>8</v>
      </c>
      <c r="C12" s="300" vm="22">
        <v>45784</v>
      </c>
      <c r="D12" s="301" vm="23">
        <v>276.22000000000003</v>
      </c>
      <c r="E12" s="302" vm="24">
        <v>483.3</v>
      </c>
      <c r="F12" s="303">
        <f t="shared" si="0"/>
        <v>3.1596150354094949E-3</v>
      </c>
      <c r="G12" s="303">
        <f t="shared" si="0"/>
        <v>3.9259674705552153E-3</v>
      </c>
      <c r="I12" s="304" t="s">
        <v>255</v>
      </c>
      <c r="J12" s="364"/>
      <c r="K12" s="307"/>
      <c r="L12" s="304"/>
      <c r="M12" s="304"/>
      <c r="N12" s="304"/>
    </row>
    <row r="13" spans="2:14" x14ac:dyDescent="0.2">
      <c r="B13" s="299">
        <v>9</v>
      </c>
      <c r="C13" s="300" vm="25">
        <v>45785</v>
      </c>
      <c r="D13" s="301" vm="26">
        <v>284.82</v>
      </c>
      <c r="E13" s="302" vm="27">
        <v>488.29</v>
      </c>
      <c r="F13" s="303">
        <f t="shared" si="0"/>
        <v>3.1134602852798367E-2</v>
      </c>
      <c r="G13" s="303">
        <f t="shared" si="0"/>
        <v>1.0324849989654477E-2</v>
      </c>
      <c r="I13" s="305"/>
      <c r="J13" s="364"/>
      <c r="K13" s="305"/>
      <c r="L13" s="304"/>
      <c r="M13" s="304"/>
      <c r="N13" s="304"/>
    </row>
    <row r="14" spans="2:14" x14ac:dyDescent="0.2">
      <c r="B14" s="299">
        <v>10</v>
      </c>
      <c r="C14" s="300" vm="28">
        <v>45786</v>
      </c>
      <c r="D14" s="301" vm="29">
        <v>298.26</v>
      </c>
      <c r="E14" s="302" vm="30">
        <v>487.97</v>
      </c>
      <c r="F14" s="303">
        <f t="shared" si="0"/>
        <v>4.7187697493153567E-2</v>
      </c>
      <c r="G14" s="303">
        <f t="shared" si="0"/>
        <v>-6.5534825615923568E-4</v>
      </c>
      <c r="I14" s="305" t="str">
        <f>I10</f>
        <v>TSLA Beta</v>
      </c>
      <c r="J14" s="362">
        <f>SLOPE(F6:F256,G6:G256)</f>
        <v>1.633921571753054</v>
      </c>
      <c r="K14" s="305"/>
      <c r="L14" s="304" t="s">
        <v>256</v>
      </c>
      <c r="M14" s="304"/>
      <c r="N14" s="304"/>
    </row>
    <row r="15" spans="2:14" x14ac:dyDescent="0.2">
      <c r="B15" s="299">
        <v>11</v>
      </c>
      <c r="C15" s="300" vm="31">
        <v>45789</v>
      </c>
      <c r="D15" s="301" vm="32">
        <v>318.38</v>
      </c>
      <c r="E15" s="302" vm="33">
        <v>507.85</v>
      </c>
      <c r="F15" s="303">
        <f t="shared" si="0"/>
        <v>6.7457922617850219E-2</v>
      </c>
      <c r="G15" s="303">
        <f t="shared" si="0"/>
        <v>4.0740209439104849E-2</v>
      </c>
    </row>
    <row r="16" spans="2:14" x14ac:dyDescent="0.2">
      <c r="B16" s="299">
        <v>12</v>
      </c>
      <c r="C16" s="300" vm="34">
        <v>45790</v>
      </c>
      <c r="D16" s="301" vm="35">
        <v>334.07</v>
      </c>
      <c r="E16" s="302" vm="36">
        <v>515.59</v>
      </c>
      <c r="F16" s="303">
        <f t="shared" si="0"/>
        <v>4.9280733714429294E-2</v>
      </c>
      <c r="G16" s="303">
        <f t="shared" si="0"/>
        <v>1.5240720685241722E-2</v>
      </c>
    </row>
    <row r="17" spans="2:7" x14ac:dyDescent="0.2">
      <c r="B17" s="299">
        <v>13</v>
      </c>
      <c r="C17" s="300" vm="37">
        <v>45791</v>
      </c>
      <c r="D17" s="301" vm="38">
        <v>347.68</v>
      </c>
      <c r="E17" s="302" vm="39">
        <v>518.67999999999995</v>
      </c>
      <c r="F17" s="303">
        <f t="shared" si="0"/>
        <v>4.0739964678061527E-2</v>
      </c>
      <c r="G17" s="303">
        <f t="shared" si="0"/>
        <v>5.9931340794040187E-3</v>
      </c>
    </row>
    <row r="18" spans="2:7" x14ac:dyDescent="0.2">
      <c r="B18" s="299">
        <v>14</v>
      </c>
      <c r="C18" s="300" vm="40">
        <v>45792</v>
      </c>
      <c r="D18" s="301" vm="41">
        <v>342.82</v>
      </c>
      <c r="E18" s="302" vm="42">
        <v>519.25</v>
      </c>
      <c r="F18" s="303">
        <f t="shared" si="0"/>
        <v>-1.3978370915784669E-2</v>
      </c>
      <c r="G18" s="303">
        <f t="shared" si="0"/>
        <v>1.0989434718902793E-3</v>
      </c>
    </row>
    <row r="19" spans="2:7" x14ac:dyDescent="0.2">
      <c r="B19" s="299">
        <v>15</v>
      </c>
      <c r="C19" s="300" vm="43">
        <v>45793</v>
      </c>
      <c r="D19" s="301" vm="44">
        <v>349.98</v>
      </c>
      <c r="E19" s="302" vm="45">
        <v>521.51</v>
      </c>
      <c r="F19" s="303">
        <f t="shared" si="0"/>
        <v>2.0885595939560193E-2</v>
      </c>
      <c r="G19" s="303">
        <f t="shared" si="0"/>
        <v>4.3524313914299296E-3</v>
      </c>
    </row>
    <row r="20" spans="2:7" x14ac:dyDescent="0.2">
      <c r="B20" s="299">
        <v>16</v>
      </c>
      <c r="C20" s="300" vm="46">
        <v>45796</v>
      </c>
      <c r="D20" s="301" vm="47">
        <v>342.09</v>
      </c>
      <c r="E20" s="302" vm="48">
        <v>522.01</v>
      </c>
      <c r="F20" s="303">
        <f t="shared" si="0"/>
        <v>-2.2544145379736109E-2</v>
      </c>
      <c r="G20" s="303">
        <f t="shared" si="0"/>
        <v>9.5875438630131735E-4</v>
      </c>
    </row>
    <row r="21" spans="2:7" x14ac:dyDescent="0.2">
      <c r="B21" s="299">
        <v>17</v>
      </c>
      <c r="C21" s="300" vm="49">
        <v>45797</v>
      </c>
      <c r="D21" s="301" vm="50">
        <v>343.82</v>
      </c>
      <c r="E21" s="302" vm="51">
        <v>520.27</v>
      </c>
      <c r="F21" s="303">
        <f t="shared" si="0"/>
        <v>5.0571487035575968E-3</v>
      </c>
      <c r="G21" s="303">
        <f t="shared" si="0"/>
        <v>-3.3332694775962319E-3</v>
      </c>
    </row>
    <row r="22" spans="2:7" x14ac:dyDescent="0.2">
      <c r="B22" s="299">
        <v>18</v>
      </c>
      <c r="C22" s="300" vm="52">
        <v>45798</v>
      </c>
      <c r="D22" s="301" vm="53">
        <v>334.62</v>
      </c>
      <c r="E22" s="302" vm="54">
        <v>513.04</v>
      </c>
      <c r="F22" s="303">
        <f t="shared" si="0"/>
        <v>-2.6758187423651877E-2</v>
      </c>
      <c r="G22" s="303">
        <f t="shared" si="0"/>
        <v>-1.3896630595652293E-2</v>
      </c>
    </row>
    <row r="23" spans="2:7" x14ac:dyDescent="0.2">
      <c r="B23" s="299">
        <v>19</v>
      </c>
      <c r="C23" s="300" vm="55">
        <v>45799</v>
      </c>
      <c r="D23" s="301" vm="56">
        <v>341.04</v>
      </c>
      <c r="E23" s="302" vm="57">
        <v>514</v>
      </c>
      <c r="F23" s="303">
        <f t="shared" si="0"/>
        <v>1.9185942262865387E-2</v>
      </c>
      <c r="G23" s="303">
        <f t="shared" si="0"/>
        <v>1.871199126773812E-3</v>
      </c>
    </row>
    <row r="24" spans="2:7" x14ac:dyDescent="0.2">
      <c r="B24" s="299">
        <v>20</v>
      </c>
      <c r="C24" s="300" vm="58">
        <v>45800</v>
      </c>
      <c r="D24" s="301" vm="59">
        <v>339.34</v>
      </c>
      <c r="E24" s="302" vm="60">
        <v>509.24</v>
      </c>
      <c r="F24" s="303">
        <f t="shared" si="0"/>
        <v>-4.9847525216984677E-3</v>
      </c>
      <c r="G24" s="303">
        <f t="shared" si="0"/>
        <v>-9.26070038910504E-3</v>
      </c>
    </row>
    <row r="25" spans="2:7" x14ac:dyDescent="0.2">
      <c r="B25" s="299">
        <v>21</v>
      </c>
      <c r="C25" s="300" vm="61">
        <v>45804</v>
      </c>
      <c r="D25" s="301" vm="62">
        <v>362.89</v>
      </c>
      <c r="E25" s="302" vm="63">
        <v>521.22</v>
      </c>
      <c r="F25" s="303">
        <f t="shared" si="0"/>
        <v>6.9399422408204195E-2</v>
      </c>
      <c r="G25" s="303">
        <f t="shared" si="0"/>
        <v>2.3525253318670995E-2</v>
      </c>
    </row>
    <row r="26" spans="2:7" x14ac:dyDescent="0.2">
      <c r="B26" s="299">
        <v>22</v>
      </c>
      <c r="C26" s="300" vm="64">
        <v>45805</v>
      </c>
      <c r="D26" s="301" vm="65">
        <v>356.9</v>
      </c>
      <c r="E26" s="302" vm="66">
        <v>518.91</v>
      </c>
      <c r="F26" s="303">
        <f t="shared" si="0"/>
        <v>-1.6506379343602769E-2</v>
      </c>
      <c r="G26" s="303">
        <f t="shared" si="0"/>
        <v>-4.4319097502015636E-3</v>
      </c>
    </row>
    <row r="27" spans="2:7" x14ac:dyDescent="0.2">
      <c r="B27" s="299">
        <v>23</v>
      </c>
      <c r="C27" s="300" vm="67">
        <v>45806</v>
      </c>
      <c r="D27" s="301" vm="68">
        <v>358.43</v>
      </c>
      <c r="E27" s="302" vm="69">
        <v>519.92999999999995</v>
      </c>
      <c r="F27" s="303">
        <f t="shared" si="0"/>
        <v>4.2869151022696264E-3</v>
      </c>
      <c r="G27" s="303">
        <f t="shared" si="0"/>
        <v>1.9656587847603282E-3</v>
      </c>
    </row>
    <row r="28" spans="2:7" x14ac:dyDescent="0.2">
      <c r="B28" s="299">
        <v>24</v>
      </c>
      <c r="C28" s="300" vm="70">
        <v>45807</v>
      </c>
      <c r="D28" s="301" vm="71">
        <v>346.46</v>
      </c>
      <c r="E28" s="302" vm="72">
        <v>519.11</v>
      </c>
      <c r="F28" s="303">
        <f t="shared" si="0"/>
        <v>-3.3395642105850588E-2</v>
      </c>
      <c r="G28" s="303">
        <f t="shared" si="0"/>
        <v>-1.5771353836092096E-3</v>
      </c>
    </row>
    <row r="29" spans="2:7" x14ac:dyDescent="0.2">
      <c r="B29" s="299">
        <v>25</v>
      </c>
      <c r="C29" s="300" vm="73">
        <v>45810</v>
      </c>
      <c r="D29" s="301" vm="74">
        <v>342.69</v>
      </c>
      <c r="E29" s="302" vm="75">
        <v>523.21</v>
      </c>
      <c r="F29" s="303">
        <f t="shared" si="0"/>
        <v>-1.0881487040350926E-2</v>
      </c>
      <c r="G29" s="303">
        <f t="shared" si="0"/>
        <v>7.8981333436073716E-3</v>
      </c>
    </row>
    <row r="30" spans="2:7" x14ac:dyDescent="0.2">
      <c r="B30" s="299">
        <v>26</v>
      </c>
      <c r="C30" s="300" vm="76">
        <v>45811</v>
      </c>
      <c r="D30" s="301" vm="77">
        <v>344.27</v>
      </c>
      <c r="E30" s="302" vm="78">
        <v>527.29999999999995</v>
      </c>
      <c r="F30" s="303">
        <f t="shared" si="0"/>
        <v>4.6105809915666755E-3</v>
      </c>
      <c r="G30" s="303">
        <f t="shared" si="0"/>
        <v>7.8171288775060067E-3</v>
      </c>
    </row>
    <row r="31" spans="2:7" x14ac:dyDescent="0.2">
      <c r="B31" s="299">
        <v>27</v>
      </c>
      <c r="C31" s="300" vm="79">
        <v>45812</v>
      </c>
      <c r="D31" s="301" vm="80">
        <v>332.05</v>
      </c>
      <c r="E31" s="302" vm="81">
        <v>528.77</v>
      </c>
      <c r="F31" s="303">
        <f t="shared" si="0"/>
        <v>-3.5495396055421534E-2</v>
      </c>
      <c r="G31" s="303">
        <f t="shared" si="0"/>
        <v>2.7877868386118479E-3</v>
      </c>
    </row>
    <row r="32" spans="2:7" x14ac:dyDescent="0.2">
      <c r="B32" s="299">
        <v>28</v>
      </c>
      <c r="C32" s="300" vm="82">
        <v>45813</v>
      </c>
      <c r="D32" s="301" vm="83">
        <v>284.7</v>
      </c>
      <c r="E32" s="302" vm="84">
        <v>524.79</v>
      </c>
      <c r="F32" s="303">
        <f t="shared" si="0"/>
        <v>-0.14259900617376908</v>
      </c>
      <c r="G32" s="303">
        <f t="shared" si="0"/>
        <v>-7.526902055714239E-3</v>
      </c>
    </row>
    <row r="33" spans="2:7" x14ac:dyDescent="0.2">
      <c r="B33" s="299">
        <v>29</v>
      </c>
      <c r="C33" s="300" vm="85">
        <v>45814</v>
      </c>
      <c r="D33" s="301" vm="86">
        <v>295.14</v>
      </c>
      <c r="E33" s="302" vm="87">
        <v>529.91999999999996</v>
      </c>
      <c r="F33" s="303">
        <f t="shared" si="0"/>
        <v>3.6670179135932554E-2</v>
      </c>
      <c r="G33" s="303">
        <f t="shared" si="0"/>
        <v>9.7753387069113278E-3</v>
      </c>
    </row>
    <row r="34" spans="2:7" x14ac:dyDescent="0.2">
      <c r="B34" s="299">
        <v>30</v>
      </c>
      <c r="C34" s="300" vm="88">
        <v>45817</v>
      </c>
      <c r="D34" s="301" vm="89">
        <v>308.58</v>
      </c>
      <c r="E34" s="302" vm="90">
        <v>530.70000000000005</v>
      </c>
      <c r="F34" s="303">
        <f t="shared" si="0"/>
        <v>4.5537710916853012E-2</v>
      </c>
      <c r="G34" s="303">
        <f t="shared" si="0"/>
        <v>1.4719202898552356E-3</v>
      </c>
    </row>
    <row r="35" spans="2:7" x14ac:dyDescent="0.2">
      <c r="B35" s="299">
        <v>31</v>
      </c>
      <c r="C35" s="300" vm="91">
        <v>45818</v>
      </c>
      <c r="D35" s="301" vm="92">
        <v>326.08999999999997</v>
      </c>
      <c r="E35" s="302" vm="93">
        <v>534.21</v>
      </c>
      <c r="F35" s="303">
        <f t="shared" si="0"/>
        <v>5.6743794153866073E-2</v>
      </c>
      <c r="G35" s="303">
        <f t="shared" si="0"/>
        <v>6.6139061616732444E-3</v>
      </c>
    </row>
    <row r="36" spans="2:7" x14ac:dyDescent="0.2">
      <c r="B36" s="299">
        <v>32</v>
      </c>
      <c r="C36" s="300" vm="94">
        <v>45819</v>
      </c>
      <c r="D36" s="301" vm="95">
        <v>326.43</v>
      </c>
      <c r="E36" s="302" vm="96">
        <v>532.41</v>
      </c>
      <c r="F36" s="303">
        <f t="shared" si="0"/>
        <v>1.0426569352020359E-3</v>
      </c>
      <c r="G36" s="303">
        <f t="shared" si="0"/>
        <v>-3.3694614477453961E-3</v>
      </c>
    </row>
    <row r="37" spans="2:7" x14ac:dyDescent="0.2">
      <c r="B37" s="299">
        <v>33</v>
      </c>
      <c r="C37" s="300" vm="97">
        <v>45820</v>
      </c>
      <c r="D37" s="301" vm="98">
        <v>319.11</v>
      </c>
      <c r="E37" s="302" vm="99">
        <v>533.66</v>
      </c>
      <c r="F37" s="303">
        <f t="shared" si="0"/>
        <v>-2.2424409521183693E-2</v>
      </c>
      <c r="G37" s="303">
        <f t="shared" si="0"/>
        <v>2.3478146541199454E-3</v>
      </c>
    </row>
    <row r="38" spans="2:7" x14ac:dyDescent="0.2">
      <c r="B38" s="299">
        <v>34</v>
      </c>
      <c r="C38" s="300" vm="100">
        <v>45821</v>
      </c>
      <c r="D38" s="301" vm="101">
        <v>325.31</v>
      </c>
      <c r="E38" s="302" vm="102">
        <v>526.96</v>
      </c>
      <c r="F38" s="303">
        <f t="shared" si="0"/>
        <v>1.9429037009181749E-2</v>
      </c>
      <c r="G38" s="303">
        <f t="shared" si="0"/>
        <v>-1.2554810178765379E-2</v>
      </c>
    </row>
    <row r="39" spans="2:7" x14ac:dyDescent="0.2">
      <c r="B39" s="299">
        <v>35</v>
      </c>
      <c r="C39" s="300" vm="103">
        <v>45824</v>
      </c>
      <c r="D39" s="301" vm="104">
        <v>329.13</v>
      </c>
      <c r="E39" s="302" vm="105">
        <v>534.29</v>
      </c>
      <c r="F39" s="303">
        <f t="shared" si="0"/>
        <v>1.1742645476622278E-2</v>
      </c>
      <c r="G39" s="303">
        <f t="shared" si="0"/>
        <v>1.3909974191589356E-2</v>
      </c>
    </row>
    <row r="40" spans="2:7" x14ac:dyDescent="0.2">
      <c r="B40" s="299">
        <v>36</v>
      </c>
      <c r="C40" s="300" vm="106">
        <v>45825</v>
      </c>
      <c r="D40" s="301" vm="107">
        <v>316.35000000000002</v>
      </c>
      <c r="E40" s="302" vm="108">
        <v>529.08000000000004</v>
      </c>
      <c r="F40" s="303">
        <f t="shared" si="0"/>
        <v>-3.8829641782882063E-2</v>
      </c>
      <c r="G40" s="303">
        <f t="shared" si="0"/>
        <v>-9.7512586797430661E-3</v>
      </c>
    </row>
    <row r="41" spans="2:7" x14ac:dyDescent="0.2">
      <c r="B41" s="299">
        <v>37</v>
      </c>
      <c r="C41" s="300" vm="109">
        <v>45826</v>
      </c>
      <c r="D41" s="301" vm="110">
        <v>322.05</v>
      </c>
      <c r="E41" s="302" vm="111">
        <v>528.99</v>
      </c>
      <c r="F41" s="303">
        <f t="shared" si="0"/>
        <v>1.801801801801798E-2</v>
      </c>
      <c r="G41" s="303">
        <f t="shared" si="0"/>
        <v>-1.7010660013614542E-4</v>
      </c>
    </row>
    <row r="42" spans="2:7" x14ac:dyDescent="0.2">
      <c r="B42" s="299">
        <v>38</v>
      </c>
      <c r="C42" s="300" vm="112">
        <v>45828</v>
      </c>
      <c r="D42" s="301" vm="113">
        <v>322.16000000000003</v>
      </c>
      <c r="E42" s="302" vm="114">
        <v>526.83000000000004</v>
      </c>
      <c r="F42" s="303">
        <f t="shared" si="0"/>
        <v>3.4156186927499963E-4</v>
      </c>
      <c r="G42" s="303">
        <f t="shared" si="0"/>
        <v>-4.0832529915498742E-3</v>
      </c>
    </row>
    <row r="43" spans="2:7" x14ac:dyDescent="0.2">
      <c r="B43" s="299">
        <v>39</v>
      </c>
      <c r="C43" s="300" vm="115">
        <v>45831</v>
      </c>
      <c r="D43" s="301" vm="116">
        <v>348.68</v>
      </c>
      <c r="E43" s="302" vm="117">
        <v>531.65</v>
      </c>
      <c r="F43" s="303">
        <f t="shared" si="0"/>
        <v>8.2319344425130309E-2</v>
      </c>
      <c r="G43" s="303">
        <f t="shared" si="0"/>
        <v>9.1490613670442769E-3</v>
      </c>
    </row>
    <row r="44" spans="2:7" x14ac:dyDescent="0.2">
      <c r="B44" s="299">
        <v>40</v>
      </c>
      <c r="C44" s="300" vm="118">
        <v>45832</v>
      </c>
      <c r="D44" s="301" vm="119">
        <v>340.47</v>
      </c>
      <c r="E44" s="302" vm="120">
        <v>539.78</v>
      </c>
      <c r="F44" s="303">
        <f t="shared" si="0"/>
        <v>-2.3545944705747331E-2</v>
      </c>
      <c r="G44" s="303">
        <f t="shared" si="0"/>
        <v>1.5292015423680985E-2</v>
      </c>
    </row>
    <row r="45" spans="2:7" x14ac:dyDescent="0.2">
      <c r="B45" s="299">
        <v>41</v>
      </c>
      <c r="C45" s="300" vm="121">
        <v>45833</v>
      </c>
      <c r="D45" s="301" vm="122">
        <v>327.55</v>
      </c>
      <c r="E45" s="302" vm="123">
        <v>541.16</v>
      </c>
      <c r="F45" s="303">
        <f t="shared" si="0"/>
        <v>-3.7947543102182318E-2</v>
      </c>
      <c r="G45" s="303">
        <f t="shared" si="0"/>
        <v>2.5565971321649477E-3</v>
      </c>
    </row>
    <row r="46" spans="2:7" x14ac:dyDescent="0.2">
      <c r="B46" s="299">
        <v>42</v>
      </c>
      <c r="C46" s="300" vm="124">
        <v>45834</v>
      </c>
      <c r="D46" s="301" vm="125">
        <v>325.77999999999997</v>
      </c>
      <c r="E46" s="302" vm="126">
        <v>546.22</v>
      </c>
      <c r="F46" s="303">
        <f t="shared" si="0"/>
        <v>-5.403755151885326E-3</v>
      </c>
      <c r="G46" s="303">
        <f t="shared" si="0"/>
        <v>9.3502845738784451E-3</v>
      </c>
    </row>
    <row r="47" spans="2:7" x14ac:dyDescent="0.2">
      <c r="B47" s="299">
        <v>43</v>
      </c>
      <c r="C47" s="300" vm="127">
        <v>45835</v>
      </c>
      <c r="D47" s="301" vm="128">
        <v>323.63</v>
      </c>
      <c r="E47" s="302" vm="129">
        <v>548.09</v>
      </c>
      <c r="F47" s="303">
        <f t="shared" si="0"/>
        <v>-6.5995457056908877E-3</v>
      </c>
      <c r="G47" s="303">
        <f t="shared" si="0"/>
        <v>3.4235289809966762E-3</v>
      </c>
    </row>
    <row r="48" spans="2:7" x14ac:dyDescent="0.2">
      <c r="B48" s="299">
        <v>44</v>
      </c>
      <c r="C48" s="300" vm="130">
        <v>45838</v>
      </c>
      <c r="D48" s="301" vm="131">
        <v>317.66000000000003</v>
      </c>
      <c r="E48" s="302" vm="132">
        <v>551.64</v>
      </c>
      <c r="F48" s="303">
        <f t="shared" si="0"/>
        <v>-1.8446991935234591E-2</v>
      </c>
      <c r="G48" s="303">
        <f t="shared" si="0"/>
        <v>6.4770384425914618E-3</v>
      </c>
    </row>
    <row r="49" spans="2:7" x14ac:dyDescent="0.2">
      <c r="B49" s="299">
        <v>45</v>
      </c>
      <c r="C49" s="300" vm="133">
        <v>45839</v>
      </c>
      <c r="D49" s="301" vm="134">
        <v>300.70999999999998</v>
      </c>
      <c r="E49" s="302" vm="135">
        <v>546.99</v>
      </c>
      <c r="F49" s="303">
        <f t="shared" si="0"/>
        <v>-5.3358937228483422E-2</v>
      </c>
      <c r="G49" s="303">
        <f t="shared" si="0"/>
        <v>-8.4294104850989367E-3</v>
      </c>
    </row>
    <row r="50" spans="2:7" x14ac:dyDescent="0.2">
      <c r="B50" s="299">
        <v>46</v>
      </c>
      <c r="C50" s="300" vm="136">
        <v>45840</v>
      </c>
      <c r="D50" s="301" vm="137">
        <v>315.64999999999998</v>
      </c>
      <c r="E50" s="302" vm="138">
        <v>550.79999999999995</v>
      </c>
      <c r="F50" s="303">
        <f t="shared" si="0"/>
        <v>4.9682418276745036E-2</v>
      </c>
      <c r="G50" s="303">
        <f t="shared" si="0"/>
        <v>6.9653924203366526E-3</v>
      </c>
    </row>
    <row r="51" spans="2:7" x14ac:dyDescent="0.2">
      <c r="B51" s="299">
        <v>47</v>
      </c>
      <c r="C51" s="300" vm="139">
        <v>45841</v>
      </c>
      <c r="D51" s="301" vm="140">
        <v>315.35000000000002</v>
      </c>
      <c r="E51" s="302" vm="141">
        <v>556.22</v>
      </c>
      <c r="F51" s="303">
        <f t="shared" si="0"/>
        <v>-9.504197687310456E-4</v>
      </c>
      <c r="G51" s="303">
        <f t="shared" si="0"/>
        <v>9.8402323892521296E-3</v>
      </c>
    </row>
    <row r="52" spans="2:7" x14ac:dyDescent="0.2">
      <c r="B52" s="299">
        <v>48</v>
      </c>
      <c r="C52" s="300" vm="142">
        <v>45845</v>
      </c>
      <c r="D52" s="301" vm="143">
        <v>293.94</v>
      </c>
      <c r="E52" s="302" vm="144">
        <v>552.03</v>
      </c>
      <c r="F52" s="303">
        <f t="shared" si="0"/>
        <v>-6.7892817504360312E-2</v>
      </c>
      <c r="G52" s="303">
        <f t="shared" si="0"/>
        <v>-7.5329905433102985E-3</v>
      </c>
    </row>
    <row r="53" spans="2:7" x14ac:dyDescent="0.2">
      <c r="B53" s="299">
        <v>49</v>
      </c>
      <c r="C53" s="300" vm="145">
        <v>45846</v>
      </c>
      <c r="D53" s="301" vm="146">
        <v>297.81</v>
      </c>
      <c r="E53" s="302" vm="147">
        <v>552.34</v>
      </c>
      <c r="F53" s="303">
        <f t="shared" si="0"/>
        <v>1.3165952235150047E-2</v>
      </c>
      <c r="G53" s="303">
        <f t="shared" si="0"/>
        <v>5.6156368313327017E-4</v>
      </c>
    </row>
    <row r="54" spans="2:7" x14ac:dyDescent="0.2">
      <c r="B54" s="299">
        <v>50</v>
      </c>
      <c r="C54" s="300" vm="148">
        <v>45847</v>
      </c>
      <c r="D54" s="301" vm="149">
        <v>295.88</v>
      </c>
      <c r="E54" s="302" vm="150">
        <v>556.25</v>
      </c>
      <c r="F54" s="303">
        <f t="shared" si="0"/>
        <v>-6.4806420200799394E-3</v>
      </c>
      <c r="G54" s="303">
        <f t="shared" si="0"/>
        <v>7.0789730962812179E-3</v>
      </c>
    </row>
    <row r="55" spans="2:7" x14ac:dyDescent="0.2">
      <c r="B55" s="299">
        <v>51</v>
      </c>
      <c r="C55" s="300" vm="151">
        <v>45848</v>
      </c>
      <c r="D55" s="301" vm="152">
        <v>309.87</v>
      </c>
      <c r="E55" s="302" vm="153">
        <v>555.45000000000005</v>
      </c>
      <c r="F55" s="303">
        <f t="shared" si="0"/>
        <v>4.7282682168446701E-2</v>
      </c>
      <c r="G55" s="303">
        <f t="shared" si="0"/>
        <v>-1.4382022471909296E-3</v>
      </c>
    </row>
    <row r="56" spans="2:7" x14ac:dyDescent="0.2">
      <c r="B56" s="299">
        <v>52</v>
      </c>
      <c r="C56" s="300" vm="154">
        <v>45849</v>
      </c>
      <c r="D56" s="301" vm="155">
        <v>313.51</v>
      </c>
      <c r="E56" s="302" vm="156">
        <v>554.20000000000005</v>
      </c>
      <c r="F56" s="303">
        <f t="shared" si="0"/>
        <v>1.1746861587117133E-2</v>
      </c>
      <c r="G56" s="303">
        <f t="shared" si="0"/>
        <v>-2.2504275812404357E-3</v>
      </c>
    </row>
    <row r="57" spans="2:7" x14ac:dyDescent="0.2">
      <c r="B57" s="299">
        <v>53</v>
      </c>
      <c r="C57" s="300" vm="157">
        <v>45852</v>
      </c>
      <c r="D57" s="301" vm="158">
        <v>316.89999999999998</v>
      </c>
      <c r="E57" s="302" vm="159">
        <v>556.21</v>
      </c>
      <c r="F57" s="303">
        <f t="shared" si="0"/>
        <v>1.08130522152403E-2</v>
      </c>
      <c r="G57" s="303">
        <f t="shared" si="0"/>
        <v>3.6268495128112428E-3</v>
      </c>
    </row>
    <row r="58" spans="2:7" x14ac:dyDescent="0.2">
      <c r="B58" s="299">
        <v>54</v>
      </c>
      <c r="C58" s="300" vm="160">
        <v>45853</v>
      </c>
      <c r="D58" s="301" vm="161">
        <v>310.77999999999997</v>
      </c>
      <c r="E58" s="302" vm="162">
        <v>556.72</v>
      </c>
      <c r="F58" s="303">
        <f t="shared" si="0"/>
        <v>-1.93120858314926E-2</v>
      </c>
      <c r="G58" s="303">
        <f t="shared" si="0"/>
        <v>9.1691986839501419E-4</v>
      </c>
    </row>
    <row r="59" spans="2:7" x14ac:dyDescent="0.2">
      <c r="B59" s="299">
        <v>55</v>
      </c>
      <c r="C59" s="300" vm="163">
        <v>45854</v>
      </c>
      <c r="D59" s="301" vm="164">
        <v>321.67</v>
      </c>
      <c r="E59" s="302" vm="165">
        <v>557.29</v>
      </c>
      <c r="F59" s="303">
        <f t="shared" si="0"/>
        <v>3.5040864920522698E-2</v>
      </c>
      <c r="G59" s="303">
        <f t="shared" si="0"/>
        <v>1.0238540020116689E-3</v>
      </c>
    </row>
    <row r="60" spans="2:7" x14ac:dyDescent="0.2">
      <c r="B60" s="299">
        <v>56</v>
      </c>
      <c r="C60" s="300" vm="166">
        <v>45855</v>
      </c>
      <c r="D60" s="301" vm="167">
        <v>319.41000000000003</v>
      </c>
      <c r="E60" s="302" vm="168">
        <v>561.79999999999995</v>
      </c>
      <c r="F60" s="303">
        <f t="shared" si="0"/>
        <v>-7.025833929182052E-3</v>
      </c>
      <c r="G60" s="303">
        <f t="shared" si="0"/>
        <v>8.0927344829442322E-3</v>
      </c>
    </row>
    <row r="61" spans="2:7" x14ac:dyDescent="0.2">
      <c r="B61" s="299">
        <v>57</v>
      </c>
      <c r="C61" s="300" vm="169">
        <v>45856</v>
      </c>
      <c r="D61" s="301" vm="170">
        <v>329.65</v>
      </c>
      <c r="E61" s="302" vm="171">
        <v>561.26</v>
      </c>
      <c r="F61" s="303">
        <f t="shared" si="0"/>
        <v>3.2059108982185752E-2</v>
      </c>
      <c r="G61" s="303">
        <f t="shared" si="0"/>
        <v>-9.6119615521531444E-4</v>
      </c>
    </row>
    <row r="62" spans="2:7" x14ac:dyDescent="0.2">
      <c r="B62" s="299">
        <v>58</v>
      </c>
      <c r="C62" s="300" vm="172">
        <v>45859</v>
      </c>
      <c r="D62" s="301" vm="173">
        <v>328.49</v>
      </c>
      <c r="E62" s="302" vm="174">
        <v>564.16999999999996</v>
      </c>
      <c r="F62" s="303">
        <f t="shared" si="0"/>
        <v>-3.5188836644925474E-3</v>
      </c>
      <c r="G62" s="303">
        <f t="shared" si="0"/>
        <v>5.1847628550047544E-3</v>
      </c>
    </row>
    <row r="63" spans="2:7" x14ac:dyDescent="0.2">
      <c r="B63" s="299">
        <v>59</v>
      </c>
      <c r="C63" s="300" vm="175">
        <v>45860</v>
      </c>
      <c r="D63" s="301" vm="176">
        <v>332.11</v>
      </c>
      <c r="E63" s="302" vm="177">
        <v>561.25</v>
      </c>
      <c r="F63" s="303">
        <f t="shared" si="0"/>
        <v>1.10201223781546E-2</v>
      </c>
      <c r="G63" s="303">
        <f t="shared" si="0"/>
        <v>-5.1757448995869313E-3</v>
      </c>
    </row>
    <row r="64" spans="2:7" x14ac:dyDescent="0.2">
      <c r="B64" s="299">
        <v>60</v>
      </c>
      <c r="C64" s="300" vm="178">
        <v>45861</v>
      </c>
      <c r="D64" s="301" vm="179">
        <v>332.56</v>
      </c>
      <c r="E64" s="302" vm="180">
        <v>563.80999999999995</v>
      </c>
      <c r="F64" s="303">
        <f t="shared" si="0"/>
        <v>1.354972749992438E-3</v>
      </c>
      <c r="G64" s="303">
        <f t="shared" si="0"/>
        <v>4.5612472160355376E-3</v>
      </c>
    </row>
    <row r="65" spans="2:7" x14ac:dyDescent="0.2">
      <c r="B65" s="299">
        <v>61</v>
      </c>
      <c r="C65" s="300" vm="181">
        <v>45862</v>
      </c>
      <c r="D65" s="301" vm="182">
        <v>305.3</v>
      </c>
      <c r="E65" s="302" vm="183">
        <v>565.01</v>
      </c>
      <c r="F65" s="303">
        <f t="shared" si="0"/>
        <v>-8.1970170796247271E-2</v>
      </c>
      <c r="G65" s="303">
        <f t="shared" si="0"/>
        <v>2.1283765807631038E-3</v>
      </c>
    </row>
    <row r="66" spans="2:7" x14ac:dyDescent="0.2">
      <c r="B66" s="299">
        <v>62</v>
      </c>
      <c r="C66" s="300" vm="184">
        <v>45863</v>
      </c>
      <c r="D66" s="301" vm="185">
        <v>316.06</v>
      </c>
      <c r="E66" s="302" vm="186">
        <v>566.37</v>
      </c>
      <c r="F66" s="303">
        <f t="shared" si="0"/>
        <v>3.5244022273173893E-2</v>
      </c>
      <c r="G66" s="303">
        <f t="shared" si="0"/>
        <v>2.4070370435921732E-3</v>
      </c>
    </row>
    <row r="67" spans="2:7" x14ac:dyDescent="0.2">
      <c r="B67" s="299">
        <v>63</v>
      </c>
      <c r="C67" s="300" vm="187">
        <v>45866</v>
      </c>
      <c r="D67" s="301" vm="188">
        <v>325.58999999999997</v>
      </c>
      <c r="E67" s="302" vm="189">
        <v>568.14</v>
      </c>
      <c r="F67" s="303">
        <f t="shared" si="0"/>
        <v>3.0152502689362693E-2</v>
      </c>
      <c r="G67" s="303">
        <f t="shared" si="0"/>
        <v>3.1251655278351285E-3</v>
      </c>
    </row>
    <row r="68" spans="2:7" x14ac:dyDescent="0.2">
      <c r="B68" s="299">
        <v>64</v>
      </c>
      <c r="C68" s="300" vm="190">
        <v>45867</v>
      </c>
      <c r="D68" s="301" vm="191">
        <v>321.2</v>
      </c>
      <c r="E68" s="302" vm="192">
        <v>567.26</v>
      </c>
      <c r="F68" s="303">
        <f t="shared" si="0"/>
        <v>-1.3483215086458389E-2</v>
      </c>
      <c r="G68" s="303">
        <f t="shared" si="0"/>
        <v>-1.5489140000703972E-3</v>
      </c>
    </row>
    <row r="69" spans="2:7" x14ac:dyDescent="0.2">
      <c r="B69" s="299">
        <v>65</v>
      </c>
      <c r="C69" s="300" vm="193">
        <v>45868</v>
      </c>
      <c r="D69" s="301" vm="194">
        <v>319.04000000000002</v>
      </c>
      <c r="E69" s="302" vm="195">
        <v>568.02</v>
      </c>
      <c r="F69" s="303">
        <f t="shared" si="0"/>
        <v>-6.7247820672477216E-3</v>
      </c>
      <c r="G69" s="303">
        <f t="shared" si="0"/>
        <v>1.3397736487677449E-3</v>
      </c>
    </row>
    <row r="70" spans="2:7" x14ac:dyDescent="0.2">
      <c r="B70" s="299">
        <v>66</v>
      </c>
      <c r="C70" s="300" vm="196">
        <v>45869</v>
      </c>
      <c r="D70" s="301" vm="197">
        <v>308.27</v>
      </c>
      <c r="E70" s="302" vm="183">
        <v>565.01</v>
      </c>
      <c r="F70" s="303">
        <f t="shared" ref="F70:G133" si="1">(D70-D69)/D69</f>
        <v>-3.375752256770323E-2</v>
      </c>
      <c r="G70" s="303">
        <f t="shared" si="1"/>
        <v>-5.2991091862962412E-3</v>
      </c>
    </row>
    <row r="71" spans="2:7" x14ac:dyDescent="0.2">
      <c r="B71" s="299">
        <v>67</v>
      </c>
      <c r="C71" s="300" vm="198">
        <v>45870</v>
      </c>
      <c r="D71" s="301" vm="199">
        <v>302.63</v>
      </c>
      <c r="E71" s="302" vm="200">
        <v>553.88</v>
      </c>
      <c r="F71" s="303">
        <f t="shared" si="1"/>
        <v>-1.8295649917280263E-2</v>
      </c>
      <c r="G71" s="303">
        <f t="shared" si="1"/>
        <v>-1.9698766393515151E-2</v>
      </c>
    </row>
    <row r="72" spans="2:7" x14ac:dyDescent="0.2">
      <c r="B72" s="299">
        <v>68</v>
      </c>
      <c r="C72" s="300" vm="201">
        <v>45873</v>
      </c>
      <c r="D72" s="301" vm="202">
        <v>309.26</v>
      </c>
      <c r="E72" s="302" vm="203">
        <v>564.1</v>
      </c>
      <c r="F72" s="303">
        <f t="shared" si="1"/>
        <v>2.1907940389254189E-2</v>
      </c>
      <c r="G72" s="303">
        <f t="shared" si="1"/>
        <v>1.8451650176933683E-2</v>
      </c>
    </row>
    <row r="73" spans="2:7" x14ac:dyDescent="0.2">
      <c r="B73" s="299">
        <v>69</v>
      </c>
      <c r="C73" s="300" vm="204">
        <v>45874</v>
      </c>
      <c r="D73" s="301" vm="205">
        <v>308.72000000000003</v>
      </c>
      <c r="E73" s="302" vm="206">
        <v>560.27</v>
      </c>
      <c r="F73" s="303">
        <f t="shared" si="1"/>
        <v>-1.7461036021469431E-3</v>
      </c>
      <c r="G73" s="303">
        <f t="shared" si="1"/>
        <v>-6.7895763162560555E-3</v>
      </c>
    </row>
    <row r="74" spans="2:7" x14ac:dyDescent="0.2">
      <c r="B74" s="299">
        <v>70</v>
      </c>
      <c r="C74" s="300" vm="207">
        <v>45875</v>
      </c>
      <c r="D74" s="301" vm="208">
        <v>319.91000000000003</v>
      </c>
      <c r="E74" s="302" vm="209">
        <v>567.32000000000005</v>
      </c>
      <c r="F74" s="303">
        <f t="shared" si="1"/>
        <v>3.624643690075148E-2</v>
      </c>
      <c r="G74" s="303">
        <f t="shared" si="1"/>
        <v>1.2583218805219034E-2</v>
      </c>
    </row>
    <row r="75" spans="2:7" x14ac:dyDescent="0.2">
      <c r="B75" s="299">
        <v>71</v>
      </c>
      <c r="C75" s="300" vm="210">
        <v>45876</v>
      </c>
      <c r="D75" s="301" vm="211">
        <v>322.27</v>
      </c>
      <c r="E75" s="302" vm="212">
        <v>569.24</v>
      </c>
      <c r="F75" s="303">
        <f t="shared" si="1"/>
        <v>7.3770748022880077E-3</v>
      </c>
      <c r="G75" s="303">
        <f t="shared" si="1"/>
        <v>3.3843333568355761E-3</v>
      </c>
    </row>
    <row r="76" spans="2:7" x14ac:dyDescent="0.2">
      <c r="B76" s="299">
        <v>72</v>
      </c>
      <c r="C76" s="300" vm="213">
        <v>45877</v>
      </c>
      <c r="D76" s="301" vm="170">
        <v>329.65</v>
      </c>
      <c r="E76" s="302" vm="214">
        <v>574.54999999999995</v>
      </c>
      <c r="F76" s="303">
        <f t="shared" si="1"/>
        <v>2.2900052750799007E-2</v>
      </c>
      <c r="G76" s="303">
        <f t="shared" si="1"/>
        <v>9.3282271098305558E-3</v>
      </c>
    </row>
    <row r="77" spans="2:7" x14ac:dyDescent="0.2">
      <c r="B77" s="299">
        <v>73</v>
      </c>
      <c r="C77" s="300" vm="215">
        <v>45880</v>
      </c>
      <c r="D77" s="301" vm="216">
        <v>339.03</v>
      </c>
      <c r="E77" s="302" vm="217">
        <v>572.85</v>
      </c>
      <c r="F77" s="303">
        <f t="shared" si="1"/>
        <v>2.8454421355983608E-2</v>
      </c>
      <c r="G77" s="303">
        <f t="shared" si="1"/>
        <v>-2.9588373509702062E-3</v>
      </c>
    </row>
    <row r="78" spans="2:7" x14ac:dyDescent="0.2">
      <c r="B78" s="299">
        <v>74</v>
      </c>
      <c r="C78" s="300" vm="218">
        <v>45881</v>
      </c>
      <c r="D78" s="301" vm="219">
        <v>340.84</v>
      </c>
      <c r="E78" s="302" vm="220">
        <v>580.04999999999995</v>
      </c>
      <c r="F78" s="303">
        <f t="shared" si="1"/>
        <v>5.3387605816594477E-3</v>
      </c>
      <c r="G78" s="303">
        <f t="shared" si="1"/>
        <v>1.2568735271013235E-2</v>
      </c>
    </row>
    <row r="79" spans="2:7" x14ac:dyDescent="0.2">
      <c r="B79" s="299">
        <v>75</v>
      </c>
      <c r="C79" s="300" vm="221">
        <v>45882</v>
      </c>
      <c r="D79" s="301" vm="222">
        <v>339.38</v>
      </c>
      <c r="E79" s="302" vm="223">
        <v>580.34</v>
      </c>
      <c r="F79" s="303">
        <f t="shared" si="1"/>
        <v>-4.2835347963853408E-3</v>
      </c>
      <c r="G79" s="303">
        <f t="shared" si="1"/>
        <v>4.9995690026735163E-4</v>
      </c>
    </row>
    <row r="80" spans="2:7" x14ac:dyDescent="0.2">
      <c r="B80" s="299">
        <v>76</v>
      </c>
      <c r="C80" s="300" vm="224">
        <v>45883</v>
      </c>
      <c r="D80" s="301" vm="225">
        <v>335.58</v>
      </c>
      <c r="E80" s="302" vm="226">
        <v>579.89</v>
      </c>
      <c r="F80" s="303">
        <f t="shared" si="1"/>
        <v>-1.1196888443632541E-2</v>
      </c>
      <c r="G80" s="303">
        <f t="shared" si="1"/>
        <v>-7.7540751972989192E-4</v>
      </c>
    </row>
    <row r="81" spans="2:7" x14ac:dyDescent="0.2">
      <c r="B81" s="299">
        <v>77</v>
      </c>
      <c r="C81" s="300" vm="227">
        <v>45884</v>
      </c>
      <c r="D81" s="301" vm="228">
        <v>330.56</v>
      </c>
      <c r="E81" s="302" vm="229">
        <v>577.34</v>
      </c>
      <c r="F81" s="303">
        <f t="shared" si="1"/>
        <v>-1.4959175159425419E-2</v>
      </c>
      <c r="G81" s="303">
        <f t="shared" si="1"/>
        <v>-4.3973857110830581E-3</v>
      </c>
    </row>
    <row r="82" spans="2:7" x14ac:dyDescent="0.2">
      <c r="B82" s="299">
        <v>78</v>
      </c>
      <c r="C82" s="300" vm="230">
        <v>45887</v>
      </c>
      <c r="D82" s="301" vm="231">
        <v>335.16</v>
      </c>
      <c r="E82" s="302" vm="232">
        <v>577.11</v>
      </c>
      <c r="F82" s="303">
        <f t="shared" si="1"/>
        <v>1.3915779283639953E-2</v>
      </c>
      <c r="G82" s="303">
        <f t="shared" si="1"/>
        <v>-3.9837877160774966E-4</v>
      </c>
    </row>
    <row r="83" spans="2:7" x14ac:dyDescent="0.2">
      <c r="B83" s="299">
        <v>79</v>
      </c>
      <c r="C83" s="300" vm="233">
        <v>45888</v>
      </c>
      <c r="D83" s="301" vm="234">
        <v>329.31</v>
      </c>
      <c r="E83" s="302" vm="235">
        <v>569.28</v>
      </c>
      <c r="F83" s="303">
        <f t="shared" si="1"/>
        <v>-1.7454350161117144E-2</v>
      </c>
      <c r="G83" s="303">
        <f t="shared" si="1"/>
        <v>-1.3567604096272879E-2</v>
      </c>
    </row>
    <row r="84" spans="2:7" x14ac:dyDescent="0.2">
      <c r="B84" s="299">
        <v>80</v>
      </c>
      <c r="C84" s="300" vm="236">
        <v>45889</v>
      </c>
      <c r="D84" s="301" vm="237">
        <v>323.89999999999998</v>
      </c>
      <c r="E84" s="302" vm="238">
        <v>565.9</v>
      </c>
      <c r="F84" s="303">
        <f t="shared" si="1"/>
        <v>-1.6428289453706311E-2</v>
      </c>
      <c r="G84" s="303">
        <f t="shared" si="1"/>
        <v>-5.9373243395165745E-3</v>
      </c>
    </row>
    <row r="85" spans="2:7" x14ac:dyDescent="0.2">
      <c r="B85" s="299">
        <v>81</v>
      </c>
      <c r="C85" s="300" vm="239">
        <v>45890</v>
      </c>
      <c r="D85" s="301" vm="240">
        <v>320.11</v>
      </c>
      <c r="E85" s="302" vm="241">
        <v>563.28</v>
      </c>
      <c r="F85" s="303">
        <f t="shared" si="1"/>
        <v>-1.1701142327878864E-2</v>
      </c>
      <c r="G85" s="303">
        <f t="shared" si="1"/>
        <v>-4.6297932496907664E-3</v>
      </c>
    </row>
    <row r="86" spans="2:7" x14ac:dyDescent="0.2">
      <c r="B86" s="299">
        <v>82</v>
      </c>
      <c r="C86" s="300" vm="242">
        <v>45891</v>
      </c>
      <c r="D86" s="301" vm="243">
        <v>340.01</v>
      </c>
      <c r="E86" s="302" vm="244">
        <v>571.97</v>
      </c>
      <c r="F86" s="303">
        <f t="shared" si="1"/>
        <v>6.2166130392677446E-2</v>
      </c>
      <c r="G86" s="303">
        <f t="shared" si="1"/>
        <v>1.5427496094304884E-2</v>
      </c>
    </row>
    <row r="87" spans="2:7" x14ac:dyDescent="0.2">
      <c r="B87" s="299">
        <v>83</v>
      </c>
      <c r="C87" s="300" vm="245">
        <v>45894</v>
      </c>
      <c r="D87" s="301" vm="246">
        <v>346.6</v>
      </c>
      <c r="E87" s="302" vm="247">
        <v>570.32000000000005</v>
      </c>
      <c r="F87" s="303">
        <f t="shared" si="1"/>
        <v>1.9381782888738659E-2</v>
      </c>
      <c r="G87" s="303">
        <f t="shared" si="1"/>
        <v>-2.88476668356728E-3</v>
      </c>
    </row>
    <row r="88" spans="2:7" x14ac:dyDescent="0.2">
      <c r="B88" s="299">
        <v>84</v>
      </c>
      <c r="C88" s="300" vm="248">
        <v>45895</v>
      </c>
      <c r="D88" s="301" vm="249">
        <v>351.67</v>
      </c>
      <c r="E88" s="302" vm="250">
        <v>572.61</v>
      </c>
      <c r="F88" s="303">
        <f t="shared" si="1"/>
        <v>1.4627813040969396E-2</v>
      </c>
      <c r="G88" s="303">
        <f t="shared" si="1"/>
        <v>4.0152896619441072E-3</v>
      </c>
    </row>
    <row r="89" spans="2:7" x14ac:dyDescent="0.2">
      <c r="B89" s="299">
        <v>85</v>
      </c>
      <c r="C89" s="300" vm="251">
        <v>45896</v>
      </c>
      <c r="D89" s="301" vm="252">
        <v>349.6</v>
      </c>
      <c r="E89" s="302" vm="253">
        <v>573.49</v>
      </c>
      <c r="F89" s="303">
        <f t="shared" si="1"/>
        <v>-5.8862001308044275E-3</v>
      </c>
      <c r="G89" s="303">
        <f t="shared" si="1"/>
        <v>1.5368226192347242E-3</v>
      </c>
    </row>
    <row r="90" spans="2:7" x14ac:dyDescent="0.2">
      <c r="B90" s="299">
        <v>86</v>
      </c>
      <c r="C90" s="300" vm="254">
        <v>45897</v>
      </c>
      <c r="D90" s="301" vm="255">
        <v>345.98</v>
      </c>
      <c r="E90" s="302" vm="256">
        <v>577.08000000000004</v>
      </c>
      <c r="F90" s="303">
        <f t="shared" si="1"/>
        <v>-1.0354691075514887E-2</v>
      </c>
      <c r="G90" s="303">
        <f t="shared" si="1"/>
        <v>6.2599173481665445E-3</v>
      </c>
    </row>
    <row r="91" spans="2:7" x14ac:dyDescent="0.2">
      <c r="B91" s="299">
        <v>87</v>
      </c>
      <c r="C91" s="300" vm="257">
        <v>45898</v>
      </c>
      <c r="D91" s="301" vm="258">
        <v>333.87</v>
      </c>
      <c r="E91" s="302" vm="259">
        <v>570.4</v>
      </c>
      <c r="F91" s="303">
        <f t="shared" si="1"/>
        <v>-3.5002023238337517E-2</v>
      </c>
      <c r="G91" s="303">
        <f t="shared" si="1"/>
        <v>-1.1575518125736576E-2</v>
      </c>
    </row>
    <row r="92" spans="2:7" x14ac:dyDescent="0.2">
      <c r="B92" s="299">
        <v>88</v>
      </c>
      <c r="C92" s="300" vm="260">
        <v>45902</v>
      </c>
      <c r="D92" s="301" vm="261">
        <v>329.36</v>
      </c>
      <c r="E92" s="302" vm="262">
        <v>565.62</v>
      </c>
      <c r="F92" s="303">
        <f t="shared" si="1"/>
        <v>-1.3508251714739242E-2</v>
      </c>
      <c r="G92" s="303">
        <f t="shared" si="1"/>
        <v>-8.380084151472603E-3</v>
      </c>
    </row>
    <row r="93" spans="2:7" x14ac:dyDescent="0.2">
      <c r="B93" s="299">
        <v>89</v>
      </c>
      <c r="C93" s="300" vm="263">
        <v>45903</v>
      </c>
      <c r="D93" s="301" vm="264">
        <v>334.09</v>
      </c>
      <c r="E93" s="302" vm="265">
        <v>570.07000000000005</v>
      </c>
      <c r="F93" s="303">
        <f t="shared" si="1"/>
        <v>1.4361185329123029E-2</v>
      </c>
      <c r="G93" s="303">
        <f t="shared" si="1"/>
        <v>7.8674728616386358E-3</v>
      </c>
    </row>
    <row r="94" spans="2:7" x14ac:dyDescent="0.2">
      <c r="B94" s="299">
        <v>90</v>
      </c>
      <c r="C94" s="300" vm="266">
        <v>45904</v>
      </c>
      <c r="D94" s="301" vm="267">
        <v>338.53</v>
      </c>
      <c r="E94" s="302" vm="268">
        <v>575.23</v>
      </c>
      <c r="F94" s="303">
        <f t="shared" si="1"/>
        <v>1.3289832081175726E-2</v>
      </c>
      <c r="G94" s="303">
        <f t="shared" si="1"/>
        <v>9.0515199887732517E-3</v>
      </c>
    </row>
    <row r="95" spans="2:7" x14ac:dyDescent="0.2">
      <c r="B95" s="299">
        <v>91</v>
      </c>
      <c r="C95" s="300" vm="269">
        <v>45905</v>
      </c>
      <c r="D95" s="301" vm="270">
        <v>350.84</v>
      </c>
      <c r="E95" s="302" vm="271">
        <v>576.05999999999995</v>
      </c>
      <c r="F95" s="303">
        <f t="shared" si="1"/>
        <v>3.6363099282190656E-2</v>
      </c>
      <c r="G95" s="303">
        <f t="shared" si="1"/>
        <v>1.442901100429267E-3</v>
      </c>
    </row>
    <row r="96" spans="2:7" x14ac:dyDescent="0.2">
      <c r="B96" s="299">
        <v>92</v>
      </c>
      <c r="C96" s="300" vm="272">
        <v>45908</v>
      </c>
      <c r="D96" s="301" vm="273">
        <v>346.4</v>
      </c>
      <c r="E96" s="302" vm="274">
        <v>578.87</v>
      </c>
      <c r="F96" s="303">
        <f t="shared" si="1"/>
        <v>-1.2655341466195411E-2</v>
      </c>
      <c r="G96" s="303">
        <f t="shared" si="1"/>
        <v>4.8779641009618086E-3</v>
      </c>
    </row>
    <row r="97" spans="2:7" x14ac:dyDescent="0.2">
      <c r="B97" s="299">
        <v>93</v>
      </c>
      <c r="C97" s="300" vm="275">
        <v>45909</v>
      </c>
      <c r="D97" s="301" vm="276">
        <v>346.97</v>
      </c>
      <c r="E97" s="302" vm="277">
        <v>580.51</v>
      </c>
      <c r="F97" s="303">
        <f t="shared" si="1"/>
        <v>1.6454965357969112E-3</v>
      </c>
      <c r="G97" s="303">
        <f t="shared" si="1"/>
        <v>2.8331058786946746E-3</v>
      </c>
    </row>
    <row r="98" spans="2:7" x14ac:dyDescent="0.2">
      <c r="B98" s="299">
        <v>94</v>
      </c>
      <c r="C98" s="300" vm="278">
        <v>45910</v>
      </c>
      <c r="D98" s="301" vm="279">
        <v>347.79</v>
      </c>
      <c r="E98" s="302" vm="280">
        <v>580.70000000000005</v>
      </c>
      <c r="F98" s="303">
        <f t="shared" si="1"/>
        <v>2.3633167132604926E-3</v>
      </c>
      <c r="G98" s="303">
        <f t="shared" si="1"/>
        <v>3.2729841001887059E-4</v>
      </c>
    </row>
    <row r="99" spans="2:7" x14ac:dyDescent="0.2">
      <c r="B99" s="299">
        <v>95</v>
      </c>
      <c r="C99" s="300" vm="281">
        <v>45911</v>
      </c>
      <c r="D99" s="301" vm="282">
        <v>368.81</v>
      </c>
      <c r="E99" s="302" vm="283">
        <v>584.08000000000004</v>
      </c>
      <c r="F99" s="303">
        <f t="shared" si="1"/>
        <v>6.0438770522441648E-2</v>
      </c>
      <c r="G99" s="303">
        <f t="shared" si="1"/>
        <v>5.8205613914241346E-3</v>
      </c>
    </row>
    <row r="100" spans="2:7" x14ac:dyDescent="0.2">
      <c r="B100" s="299">
        <v>96</v>
      </c>
      <c r="C100" s="300" vm="284">
        <v>45912</v>
      </c>
      <c r="D100" s="301" vm="285">
        <v>395.94</v>
      </c>
      <c r="E100" s="302" vm="286">
        <v>586.66</v>
      </c>
      <c r="F100" s="303">
        <f t="shared" si="1"/>
        <v>7.3560912122773228E-2</v>
      </c>
      <c r="G100" s="303">
        <f t="shared" si="1"/>
        <v>4.4172031228597577E-3</v>
      </c>
    </row>
    <row r="101" spans="2:7" x14ac:dyDescent="0.2">
      <c r="B101" s="299">
        <v>97</v>
      </c>
      <c r="C101" s="300" vm="287">
        <v>45915</v>
      </c>
      <c r="D101" s="301" vm="288">
        <v>410.04</v>
      </c>
      <c r="E101" s="302" vm="289">
        <v>591.67999999999995</v>
      </c>
      <c r="F101" s="303">
        <f t="shared" si="1"/>
        <v>3.561145628125479E-2</v>
      </c>
      <c r="G101" s="303">
        <f t="shared" si="1"/>
        <v>8.5569154194933723E-3</v>
      </c>
    </row>
    <row r="102" spans="2:7" x14ac:dyDescent="0.2">
      <c r="B102" s="299">
        <v>98</v>
      </c>
      <c r="C102" s="300" vm="290">
        <v>45916</v>
      </c>
      <c r="D102" s="301" vm="291">
        <v>421.62</v>
      </c>
      <c r="E102" s="302" vm="292">
        <v>591.17999999999995</v>
      </c>
      <c r="F102" s="303">
        <f t="shared" si="1"/>
        <v>2.8241147205150675E-2</v>
      </c>
      <c r="G102" s="303">
        <f t="shared" si="1"/>
        <v>-8.4505137912385079E-4</v>
      </c>
    </row>
    <row r="103" spans="2:7" x14ac:dyDescent="0.2">
      <c r="B103" s="299">
        <v>99</v>
      </c>
      <c r="C103" s="300" vm="293">
        <v>45917</v>
      </c>
      <c r="D103" s="301" vm="294">
        <v>425.86</v>
      </c>
      <c r="E103" s="302" vm="295">
        <v>590</v>
      </c>
      <c r="F103" s="303">
        <f t="shared" si="1"/>
        <v>1.0056448935060028E-2</v>
      </c>
      <c r="G103" s="303">
        <f t="shared" si="1"/>
        <v>-1.9960079840318518E-3</v>
      </c>
    </row>
    <row r="104" spans="2:7" x14ac:dyDescent="0.2">
      <c r="B104" s="299">
        <v>100</v>
      </c>
      <c r="C104" s="300" vm="296">
        <v>45918</v>
      </c>
      <c r="D104" s="301" vm="297">
        <v>416.85</v>
      </c>
      <c r="E104" s="302" vm="298">
        <v>595.32000000000005</v>
      </c>
      <c r="F104" s="303">
        <f t="shared" si="1"/>
        <v>-2.1157187808199855E-2</v>
      </c>
      <c r="G104" s="303">
        <f t="shared" si="1"/>
        <v>9.0169491525424576E-3</v>
      </c>
    </row>
    <row r="105" spans="2:7" x14ac:dyDescent="0.2">
      <c r="B105" s="299">
        <v>101</v>
      </c>
      <c r="C105" s="300" vm="299">
        <v>45919</v>
      </c>
      <c r="D105" s="301" vm="300">
        <v>426.07</v>
      </c>
      <c r="E105" s="302" vm="301">
        <v>599.35</v>
      </c>
      <c r="F105" s="303">
        <f t="shared" si="1"/>
        <v>2.2118267962096604E-2</v>
      </c>
      <c r="G105" s="303">
        <f t="shared" si="1"/>
        <v>6.769468521131446E-3</v>
      </c>
    </row>
    <row r="106" spans="2:7" x14ac:dyDescent="0.2">
      <c r="B106" s="299">
        <v>102</v>
      </c>
      <c r="C106" s="300" vm="302">
        <v>45922</v>
      </c>
      <c r="D106" s="301" vm="303">
        <v>434.21</v>
      </c>
      <c r="E106" s="302" vm="304">
        <v>602.20000000000005</v>
      </c>
      <c r="F106" s="303">
        <f t="shared" si="1"/>
        <v>1.9104841927382793E-2</v>
      </c>
      <c r="G106" s="303">
        <f t="shared" si="1"/>
        <v>4.755151414031906E-3</v>
      </c>
    </row>
    <row r="107" spans="2:7" x14ac:dyDescent="0.2">
      <c r="B107" s="299">
        <v>103</v>
      </c>
      <c r="C107" s="300" vm="305">
        <v>45923</v>
      </c>
      <c r="D107" s="301" vm="306">
        <v>425.85</v>
      </c>
      <c r="E107" s="302" vm="307">
        <v>598.20000000000005</v>
      </c>
      <c r="F107" s="303">
        <f t="shared" si="1"/>
        <v>-1.9253356670735258E-2</v>
      </c>
      <c r="G107" s="303">
        <f t="shared" si="1"/>
        <v>-6.6423115244104948E-3</v>
      </c>
    </row>
    <row r="108" spans="2:7" x14ac:dyDescent="0.2">
      <c r="B108" s="299">
        <v>104</v>
      </c>
      <c r="C108" s="300" vm="308">
        <v>45924</v>
      </c>
      <c r="D108" s="301" vm="309">
        <v>442.79</v>
      </c>
      <c r="E108" s="302" vm="310">
        <v>596.1</v>
      </c>
      <c r="F108" s="303">
        <f t="shared" si="1"/>
        <v>3.9779264999412929E-2</v>
      </c>
      <c r="G108" s="303">
        <f t="shared" si="1"/>
        <v>-3.5105315947843909E-3</v>
      </c>
    </row>
    <row r="109" spans="2:7" x14ac:dyDescent="0.2">
      <c r="B109" s="299">
        <v>105</v>
      </c>
      <c r="C109" s="300" vm="311">
        <v>45925</v>
      </c>
      <c r="D109" s="301" vm="312">
        <v>423.39</v>
      </c>
      <c r="E109" s="302" vm="313">
        <v>593.53</v>
      </c>
      <c r="F109" s="303">
        <f t="shared" si="1"/>
        <v>-4.381309424332084E-2</v>
      </c>
      <c r="G109" s="303">
        <f t="shared" si="1"/>
        <v>-4.3113571548398753E-3</v>
      </c>
    </row>
    <row r="110" spans="2:7" x14ac:dyDescent="0.2">
      <c r="B110" s="299">
        <v>106</v>
      </c>
      <c r="C110" s="300" vm="314">
        <v>45926</v>
      </c>
      <c r="D110" s="301" vm="315">
        <v>440.4</v>
      </c>
      <c r="E110" s="302" vm="316">
        <v>595.97</v>
      </c>
      <c r="F110" s="303">
        <f t="shared" si="1"/>
        <v>4.0175724509317633E-2</v>
      </c>
      <c r="G110" s="303">
        <f t="shared" si="1"/>
        <v>4.1109969167524045E-3</v>
      </c>
    </row>
    <row r="111" spans="2:7" x14ac:dyDescent="0.2">
      <c r="B111" s="299">
        <v>107</v>
      </c>
      <c r="C111" s="300" vm="317">
        <v>45929</v>
      </c>
      <c r="D111" s="301" vm="318">
        <v>443.21</v>
      </c>
      <c r="E111" s="302" vm="319">
        <v>598.73</v>
      </c>
      <c r="F111" s="303">
        <f t="shared" si="1"/>
        <v>6.38056312443234E-3</v>
      </c>
      <c r="G111" s="303">
        <f t="shared" si="1"/>
        <v>4.631105592563369E-3</v>
      </c>
    </row>
    <row r="112" spans="2:7" x14ac:dyDescent="0.2">
      <c r="B112" s="299">
        <v>108</v>
      </c>
      <c r="C112" s="300" vm="320">
        <v>45930</v>
      </c>
      <c r="D112" s="301" vm="321">
        <v>444.72</v>
      </c>
      <c r="E112" s="302" vm="322">
        <v>600.37</v>
      </c>
      <c r="F112" s="303">
        <f t="shared" si="1"/>
        <v>3.4069628392862251E-3</v>
      </c>
      <c r="G112" s="303">
        <f t="shared" si="1"/>
        <v>2.739131160957337E-3</v>
      </c>
    </row>
    <row r="113" spans="2:7" x14ac:dyDescent="0.2">
      <c r="B113" s="299">
        <v>109</v>
      </c>
      <c r="C113" s="300" vm="323">
        <v>45931</v>
      </c>
      <c r="D113" s="301" vm="324">
        <v>459.46</v>
      </c>
      <c r="E113" s="302" vm="325">
        <v>603.25</v>
      </c>
      <c r="F113" s="303">
        <f t="shared" si="1"/>
        <v>3.3144450440726642E-2</v>
      </c>
      <c r="G113" s="303">
        <f t="shared" si="1"/>
        <v>4.797041824208397E-3</v>
      </c>
    </row>
    <row r="114" spans="2:7" x14ac:dyDescent="0.2">
      <c r="B114" s="299">
        <v>110</v>
      </c>
      <c r="C114" s="300" vm="326">
        <v>45932</v>
      </c>
      <c r="D114" s="301" vm="327">
        <v>436</v>
      </c>
      <c r="E114" s="302" vm="328">
        <v>605.73</v>
      </c>
      <c r="F114" s="303">
        <f t="shared" si="1"/>
        <v>-5.1059939929482392E-2</v>
      </c>
      <c r="G114" s="303">
        <f t="shared" si="1"/>
        <v>4.1110650642354214E-3</v>
      </c>
    </row>
    <row r="115" spans="2:7" x14ac:dyDescent="0.2">
      <c r="B115" s="299">
        <v>111</v>
      </c>
      <c r="C115" s="300" vm="329">
        <v>45933</v>
      </c>
      <c r="D115" s="301" vm="330">
        <v>429.83</v>
      </c>
      <c r="E115" s="302" vm="331">
        <v>603.17999999999995</v>
      </c>
      <c r="F115" s="303">
        <f t="shared" si="1"/>
        <v>-1.4151376146789027E-2</v>
      </c>
      <c r="G115" s="303">
        <f t="shared" si="1"/>
        <v>-4.209796443960293E-3</v>
      </c>
    </row>
    <row r="116" spans="2:7" x14ac:dyDescent="0.2">
      <c r="B116" s="299">
        <v>112</v>
      </c>
      <c r="C116" s="300" vm="332">
        <v>45936</v>
      </c>
      <c r="D116" s="301" vm="333">
        <v>453.25</v>
      </c>
      <c r="E116" s="302" vm="334">
        <v>607.71</v>
      </c>
      <c r="F116" s="303">
        <f t="shared" si="1"/>
        <v>5.4486657515762087E-2</v>
      </c>
      <c r="G116" s="303">
        <f t="shared" si="1"/>
        <v>7.5101959614046997E-3</v>
      </c>
    </row>
    <row r="117" spans="2:7" x14ac:dyDescent="0.2">
      <c r="B117" s="299">
        <v>113</v>
      </c>
      <c r="C117" s="300" vm="335">
        <v>45937</v>
      </c>
      <c r="D117" s="301" vm="336">
        <v>433.09</v>
      </c>
      <c r="E117" s="302" vm="337">
        <v>604.51</v>
      </c>
      <c r="F117" s="303">
        <f t="shared" si="1"/>
        <v>-4.4478764478764532E-2</v>
      </c>
      <c r="G117" s="303">
        <f t="shared" si="1"/>
        <v>-5.2656694805088694E-3</v>
      </c>
    </row>
    <row r="118" spans="2:7" x14ac:dyDescent="0.2">
      <c r="B118" s="299">
        <v>114</v>
      </c>
      <c r="C118" s="300" vm="338">
        <v>45938</v>
      </c>
      <c r="D118" s="301" vm="339">
        <v>438.69</v>
      </c>
      <c r="E118" s="302" vm="340">
        <v>611.44000000000005</v>
      </c>
      <c r="F118" s="303">
        <f t="shared" si="1"/>
        <v>1.2930337805075211E-2</v>
      </c>
      <c r="G118" s="303">
        <f t="shared" si="1"/>
        <v>1.1463830209591346E-2</v>
      </c>
    </row>
    <row r="119" spans="2:7" x14ac:dyDescent="0.2">
      <c r="B119" s="299">
        <v>115</v>
      </c>
      <c r="C119" s="300" vm="341">
        <v>45939</v>
      </c>
      <c r="D119" s="301" vm="342">
        <v>435.54</v>
      </c>
      <c r="E119" s="302" vm="343">
        <v>610.70000000000005</v>
      </c>
      <c r="F119" s="303">
        <f t="shared" si="1"/>
        <v>-7.1804691239827148E-3</v>
      </c>
      <c r="G119" s="303">
        <f t="shared" si="1"/>
        <v>-1.2102577521915627E-3</v>
      </c>
    </row>
    <row r="120" spans="2:7" x14ac:dyDescent="0.2">
      <c r="B120" s="299">
        <v>116</v>
      </c>
      <c r="C120" s="300" vm="344">
        <v>45940</v>
      </c>
      <c r="D120" s="301" vm="345">
        <v>413.49</v>
      </c>
      <c r="E120" s="302" vm="346">
        <v>589.5</v>
      </c>
      <c r="F120" s="303">
        <f t="shared" si="1"/>
        <v>-5.0626808100289321E-2</v>
      </c>
      <c r="G120" s="303">
        <f t="shared" si="1"/>
        <v>-3.4714262321925732E-2</v>
      </c>
    </row>
    <row r="121" spans="2:7" x14ac:dyDescent="0.2">
      <c r="B121" s="299">
        <v>117</v>
      </c>
      <c r="C121" s="300" vm="347">
        <v>45943</v>
      </c>
      <c r="D121" s="301" vm="348">
        <v>435.9</v>
      </c>
      <c r="E121" s="302" vm="349">
        <v>602.01</v>
      </c>
      <c r="F121" s="303">
        <f t="shared" si="1"/>
        <v>5.4197199448596016E-2</v>
      </c>
      <c r="G121" s="303">
        <f t="shared" si="1"/>
        <v>2.122137404580151E-2</v>
      </c>
    </row>
    <row r="122" spans="2:7" x14ac:dyDescent="0.2">
      <c r="B122" s="299">
        <v>118</v>
      </c>
      <c r="C122" s="300" vm="350">
        <v>45944</v>
      </c>
      <c r="D122" s="301" vm="351">
        <v>429.24</v>
      </c>
      <c r="E122" s="302" vm="352">
        <v>598</v>
      </c>
      <c r="F122" s="303">
        <f t="shared" si="1"/>
        <v>-1.5278733654507843E-2</v>
      </c>
      <c r="G122" s="303">
        <f t="shared" si="1"/>
        <v>-6.6610189199514808E-3</v>
      </c>
    </row>
    <row r="123" spans="2:7" x14ac:dyDescent="0.2">
      <c r="B123" s="299">
        <v>119</v>
      </c>
      <c r="C123" s="300" vm="353">
        <v>45945</v>
      </c>
      <c r="D123" s="301" vm="354">
        <v>435.15</v>
      </c>
      <c r="E123" s="302" vm="355">
        <v>602.22</v>
      </c>
      <c r="F123" s="303">
        <f t="shared" si="1"/>
        <v>1.3768521107072891E-2</v>
      </c>
      <c r="G123" s="303">
        <f t="shared" si="1"/>
        <v>7.0568561872910154E-3</v>
      </c>
    </row>
    <row r="124" spans="2:7" x14ac:dyDescent="0.2">
      <c r="B124" s="299">
        <v>120</v>
      </c>
      <c r="C124" s="300" vm="356">
        <v>45946</v>
      </c>
      <c r="D124" s="301" vm="357">
        <v>428.75</v>
      </c>
      <c r="E124" s="302" vm="358">
        <v>599.99</v>
      </c>
      <c r="F124" s="303">
        <f t="shared" si="1"/>
        <v>-1.4707572101574118E-2</v>
      </c>
      <c r="G124" s="303">
        <f t="shared" si="1"/>
        <v>-3.7029656936003754E-3</v>
      </c>
    </row>
    <row r="125" spans="2:7" x14ac:dyDescent="0.2">
      <c r="B125" s="299">
        <v>121</v>
      </c>
      <c r="C125" s="300" vm="359">
        <v>45947</v>
      </c>
      <c r="D125" s="301" vm="360">
        <v>439.31</v>
      </c>
      <c r="E125" s="302" vm="361">
        <v>603.92999999999995</v>
      </c>
      <c r="F125" s="303">
        <f t="shared" si="1"/>
        <v>2.462973760932945E-2</v>
      </c>
      <c r="G125" s="303">
        <f t="shared" si="1"/>
        <v>6.5667761129351169E-3</v>
      </c>
    </row>
    <row r="126" spans="2:7" x14ac:dyDescent="0.2">
      <c r="B126" s="299">
        <v>122</v>
      </c>
      <c r="C126" s="300" vm="362">
        <v>45950</v>
      </c>
      <c r="D126" s="301" vm="363">
        <v>447.43</v>
      </c>
      <c r="E126" s="302" vm="364">
        <v>611.54</v>
      </c>
      <c r="F126" s="303">
        <f t="shared" si="1"/>
        <v>1.8483530991782578E-2</v>
      </c>
      <c r="G126" s="303">
        <f t="shared" si="1"/>
        <v>1.2600798105740755E-2</v>
      </c>
    </row>
    <row r="127" spans="2:7" x14ac:dyDescent="0.2">
      <c r="B127" s="299">
        <v>123</v>
      </c>
      <c r="C127" s="300" vm="365">
        <v>45951</v>
      </c>
      <c r="D127" s="301" vm="366">
        <v>442.6</v>
      </c>
      <c r="E127" s="302" vm="367">
        <v>611.38</v>
      </c>
      <c r="F127" s="303">
        <f t="shared" si="1"/>
        <v>-1.0794984690342587E-2</v>
      </c>
      <c r="G127" s="303">
        <f t="shared" si="1"/>
        <v>-2.6163456192557834E-4</v>
      </c>
    </row>
    <row r="128" spans="2:7" x14ac:dyDescent="0.2">
      <c r="B128" s="299">
        <v>124</v>
      </c>
      <c r="C128" s="300" vm="368">
        <v>45952</v>
      </c>
      <c r="D128" s="301" vm="369">
        <v>438.97</v>
      </c>
      <c r="E128" s="302" vm="370">
        <v>605.49</v>
      </c>
      <c r="F128" s="303">
        <f t="shared" si="1"/>
        <v>-8.2015363759602236E-3</v>
      </c>
      <c r="G128" s="303">
        <f t="shared" si="1"/>
        <v>-9.6339428833131374E-3</v>
      </c>
    </row>
    <row r="129" spans="2:7" x14ac:dyDescent="0.2">
      <c r="B129" s="299">
        <v>125</v>
      </c>
      <c r="C129" s="300" vm="371">
        <v>45953</v>
      </c>
      <c r="D129" s="301" vm="372">
        <v>448.98</v>
      </c>
      <c r="E129" s="302" vm="373">
        <v>610.58000000000004</v>
      </c>
      <c r="F129" s="303">
        <f t="shared" si="1"/>
        <v>2.2803380641046062E-2</v>
      </c>
      <c r="G129" s="303">
        <f t="shared" si="1"/>
        <v>8.4064146393830318E-3</v>
      </c>
    </row>
    <row r="130" spans="2:7" x14ac:dyDescent="0.2">
      <c r="B130" s="299">
        <v>126</v>
      </c>
      <c r="C130" s="300" vm="374">
        <v>45954</v>
      </c>
      <c r="D130" s="301" vm="375">
        <v>433.72</v>
      </c>
      <c r="E130" s="302" vm="376">
        <v>617.1</v>
      </c>
      <c r="F130" s="303">
        <f t="shared" si="1"/>
        <v>-3.3988150919862778E-2</v>
      </c>
      <c r="G130" s="303">
        <f t="shared" si="1"/>
        <v>1.0678371384585118E-2</v>
      </c>
    </row>
    <row r="131" spans="2:7" x14ac:dyDescent="0.2">
      <c r="B131" s="299">
        <v>127</v>
      </c>
      <c r="C131" s="300" vm="377">
        <v>45957</v>
      </c>
      <c r="D131" s="301" vm="378">
        <v>452.42</v>
      </c>
      <c r="E131" s="302" vm="379">
        <v>628.09</v>
      </c>
      <c r="F131" s="303">
        <f t="shared" si="1"/>
        <v>4.3115373973992406E-2</v>
      </c>
      <c r="G131" s="303">
        <f t="shared" si="1"/>
        <v>1.7809107113919961E-2</v>
      </c>
    </row>
    <row r="132" spans="2:7" x14ac:dyDescent="0.2">
      <c r="B132" s="299">
        <v>128</v>
      </c>
      <c r="C132" s="300" vm="380">
        <v>45958</v>
      </c>
      <c r="D132" s="301" vm="381">
        <v>460.55</v>
      </c>
      <c r="E132" s="302" vm="382">
        <v>632.91999999999996</v>
      </c>
      <c r="F132" s="303">
        <f t="shared" si="1"/>
        <v>1.7970027850227655E-2</v>
      </c>
      <c r="G132" s="303">
        <f t="shared" si="1"/>
        <v>7.6899807352448328E-3</v>
      </c>
    </row>
    <row r="133" spans="2:7" x14ac:dyDescent="0.2">
      <c r="B133" s="299">
        <v>129</v>
      </c>
      <c r="C133" s="300" vm="383">
        <v>45959</v>
      </c>
      <c r="D133" s="301" vm="384">
        <v>461.51</v>
      </c>
      <c r="E133" s="302" vm="385">
        <v>635.77</v>
      </c>
      <c r="F133" s="303">
        <f t="shared" si="1"/>
        <v>2.0844642275539668E-3</v>
      </c>
      <c r="G133" s="303">
        <f t="shared" si="1"/>
        <v>4.5029387600329001E-3</v>
      </c>
    </row>
    <row r="134" spans="2:7" x14ac:dyDescent="0.2">
      <c r="B134" s="299">
        <v>130</v>
      </c>
      <c r="C134" s="300" vm="386">
        <v>45960</v>
      </c>
      <c r="D134" s="301" vm="387">
        <v>440.1</v>
      </c>
      <c r="E134" s="302" vm="388">
        <v>626.04999999999995</v>
      </c>
      <c r="F134" s="303">
        <f t="shared" ref="F134:G197" si="2">(D134-D133)/D133</f>
        <v>-4.6391194123637555E-2</v>
      </c>
      <c r="G134" s="303">
        <f t="shared" si="2"/>
        <v>-1.528854774525383E-2</v>
      </c>
    </row>
    <row r="135" spans="2:7" x14ac:dyDescent="0.2">
      <c r="B135" s="299">
        <v>131</v>
      </c>
      <c r="C135" s="300" vm="389">
        <v>45961</v>
      </c>
      <c r="D135" s="301" vm="390">
        <v>456.56</v>
      </c>
      <c r="E135" s="302" vm="391">
        <v>629.07000000000005</v>
      </c>
      <c r="F135" s="303">
        <f t="shared" si="2"/>
        <v>3.7400590774823855E-2</v>
      </c>
      <c r="G135" s="303">
        <f t="shared" si="2"/>
        <v>4.8238958549638141E-3</v>
      </c>
    </row>
    <row r="136" spans="2:7" x14ac:dyDescent="0.2">
      <c r="B136" s="299">
        <v>132</v>
      </c>
      <c r="C136" s="300" vm="392">
        <v>45964</v>
      </c>
      <c r="D136" s="301" vm="393">
        <v>468.37</v>
      </c>
      <c r="E136" s="302" vm="394">
        <v>632.08000000000004</v>
      </c>
      <c r="F136" s="303">
        <f t="shared" si="2"/>
        <v>2.5867355878745404E-2</v>
      </c>
      <c r="G136" s="303">
        <f t="shared" si="2"/>
        <v>4.7848411146613106E-3</v>
      </c>
    </row>
    <row r="137" spans="2:7" x14ac:dyDescent="0.2">
      <c r="B137" s="299">
        <v>133</v>
      </c>
      <c r="C137" s="300" vm="395">
        <v>45965</v>
      </c>
      <c r="D137" s="301" vm="396">
        <v>444.26</v>
      </c>
      <c r="E137" s="302" vm="397">
        <v>619.25</v>
      </c>
      <c r="F137" s="303">
        <f t="shared" si="2"/>
        <v>-5.1476396865725846E-2</v>
      </c>
      <c r="G137" s="303">
        <f t="shared" si="2"/>
        <v>-2.0298063536261297E-2</v>
      </c>
    </row>
    <row r="138" spans="2:7" x14ac:dyDescent="0.2">
      <c r="B138" s="299">
        <v>134</v>
      </c>
      <c r="C138" s="300" vm="398">
        <v>45966</v>
      </c>
      <c r="D138" s="301" vm="399">
        <v>462.07</v>
      </c>
      <c r="E138" s="302" vm="400">
        <v>623.28</v>
      </c>
      <c r="F138" s="303">
        <f t="shared" si="2"/>
        <v>4.0089136991851626E-2</v>
      </c>
      <c r="G138" s="303">
        <f t="shared" si="2"/>
        <v>6.5078724263221196E-3</v>
      </c>
    </row>
    <row r="139" spans="2:7" x14ac:dyDescent="0.2">
      <c r="B139" s="299">
        <v>135</v>
      </c>
      <c r="C139" s="300" vm="401">
        <v>45967</v>
      </c>
      <c r="D139" s="301" vm="402">
        <v>445.91</v>
      </c>
      <c r="E139" s="302" vm="403">
        <v>611.66999999999996</v>
      </c>
      <c r="F139" s="303">
        <f t="shared" si="2"/>
        <v>-3.4973056030471503E-2</v>
      </c>
      <c r="G139" s="303">
        <f t="shared" si="2"/>
        <v>-1.8627262225644998E-2</v>
      </c>
    </row>
    <row r="140" spans="2:7" x14ac:dyDescent="0.2">
      <c r="B140" s="299">
        <v>136</v>
      </c>
      <c r="C140" s="300" vm="404">
        <v>45968</v>
      </c>
      <c r="D140" s="301" vm="405">
        <v>429.52</v>
      </c>
      <c r="E140" s="302" vm="406">
        <v>609.74</v>
      </c>
      <c r="F140" s="303">
        <f t="shared" si="2"/>
        <v>-3.6756296113565609E-2</v>
      </c>
      <c r="G140" s="303">
        <f t="shared" si="2"/>
        <v>-3.1552961564241342E-3</v>
      </c>
    </row>
    <row r="141" spans="2:7" x14ac:dyDescent="0.2">
      <c r="B141" s="299">
        <v>137</v>
      </c>
      <c r="C141" s="300" vm="407">
        <v>45971</v>
      </c>
      <c r="D141" s="301" vm="408">
        <v>445.23</v>
      </c>
      <c r="E141" s="302" vm="409">
        <v>623.23</v>
      </c>
      <c r="F141" s="303">
        <f t="shared" si="2"/>
        <v>3.6575712423170134E-2</v>
      </c>
      <c r="G141" s="303">
        <f t="shared" si="2"/>
        <v>2.2124184078459685E-2</v>
      </c>
    </row>
    <row r="142" spans="2:7" x14ac:dyDescent="0.2">
      <c r="B142" s="299">
        <v>138</v>
      </c>
      <c r="C142" s="300" vm="410">
        <v>45972</v>
      </c>
      <c r="D142" s="301" vm="411">
        <v>439.62</v>
      </c>
      <c r="E142" s="302" vm="412">
        <v>621.57000000000005</v>
      </c>
      <c r="F142" s="303">
        <f t="shared" si="2"/>
        <v>-1.2600229095074486E-2</v>
      </c>
      <c r="G142" s="303">
        <f t="shared" si="2"/>
        <v>-2.6635431542126795E-3</v>
      </c>
    </row>
    <row r="143" spans="2:7" x14ac:dyDescent="0.2">
      <c r="B143" s="299">
        <v>139</v>
      </c>
      <c r="C143" s="300" vm="413">
        <v>45973</v>
      </c>
      <c r="D143" s="301" vm="414">
        <v>430.6</v>
      </c>
      <c r="E143" s="302" vm="415">
        <v>621.08000000000004</v>
      </c>
      <c r="F143" s="303">
        <f t="shared" si="2"/>
        <v>-2.0517719848960423E-2</v>
      </c>
      <c r="G143" s="303">
        <f t="shared" si="2"/>
        <v>-7.8832633492608882E-4</v>
      </c>
    </row>
    <row r="144" spans="2:7" x14ac:dyDescent="0.2">
      <c r="B144" s="299">
        <v>140</v>
      </c>
      <c r="C144" s="300" vm="416">
        <v>45974</v>
      </c>
      <c r="D144" s="301" vm="417">
        <v>401.99</v>
      </c>
      <c r="E144" s="302" vm="418">
        <v>608.4</v>
      </c>
      <c r="F144" s="303">
        <f t="shared" si="2"/>
        <v>-6.6442173711100824E-2</v>
      </c>
      <c r="G144" s="303">
        <f t="shared" si="2"/>
        <v>-2.0416049462227189E-2</v>
      </c>
    </row>
    <row r="145" spans="2:7" x14ac:dyDescent="0.2">
      <c r="B145" s="299">
        <v>141</v>
      </c>
      <c r="C145" s="300" vm="419">
        <v>45975</v>
      </c>
      <c r="D145" s="301" vm="420">
        <v>404.35</v>
      </c>
      <c r="E145" s="302" vm="421">
        <v>608.86</v>
      </c>
      <c r="F145" s="303">
        <f t="shared" si="2"/>
        <v>5.8707928057912225E-3</v>
      </c>
      <c r="G145" s="303">
        <f t="shared" si="2"/>
        <v>7.5608152531235441E-4</v>
      </c>
    </row>
    <row r="146" spans="2:7" x14ac:dyDescent="0.2">
      <c r="B146" s="299">
        <v>142</v>
      </c>
      <c r="C146" s="300" vm="422">
        <v>45978</v>
      </c>
      <c r="D146" s="301" vm="423">
        <v>408.92</v>
      </c>
      <c r="E146" s="302" vm="424">
        <v>603.66</v>
      </c>
      <c r="F146" s="303">
        <f t="shared" si="2"/>
        <v>1.1302089773710876E-2</v>
      </c>
      <c r="G146" s="303">
        <f t="shared" si="2"/>
        <v>-8.5405511940348285E-3</v>
      </c>
    </row>
    <row r="147" spans="2:7" x14ac:dyDescent="0.2">
      <c r="B147" s="299">
        <v>143</v>
      </c>
      <c r="C147" s="300" vm="425">
        <v>45979</v>
      </c>
      <c r="D147" s="301" vm="426">
        <v>401.25</v>
      </c>
      <c r="E147" s="302" vm="427">
        <v>596.30999999999995</v>
      </c>
      <c r="F147" s="303">
        <f t="shared" si="2"/>
        <v>-1.8756725031791096E-2</v>
      </c>
      <c r="G147" s="303">
        <f t="shared" si="2"/>
        <v>-1.2175728058841108E-2</v>
      </c>
    </row>
    <row r="148" spans="2:7" x14ac:dyDescent="0.2">
      <c r="B148" s="299">
        <v>144</v>
      </c>
      <c r="C148" s="300" vm="428">
        <v>45980</v>
      </c>
      <c r="D148" s="301" vm="429">
        <v>403.99</v>
      </c>
      <c r="E148" s="302" vm="430">
        <v>599.87</v>
      </c>
      <c r="F148" s="303">
        <f t="shared" si="2"/>
        <v>6.8286604361370946E-3</v>
      </c>
      <c r="G148" s="303">
        <f t="shared" si="2"/>
        <v>5.9700491355168615E-3</v>
      </c>
    </row>
    <row r="149" spans="2:7" x14ac:dyDescent="0.2">
      <c r="B149" s="299">
        <v>145</v>
      </c>
      <c r="C149" s="300" vm="431">
        <v>45981</v>
      </c>
      <c r="D149" s="301" vm="432">
        <v>395.23</v>
      </c>
      <c r="E149" s="302" vm="433">
        <v>585.66999999999996</v>
      </c>
      <c r="F149" s="303">
        <f t="shared" si="2"/>
        <v>-2.1683705042203991E-2</v>
      </c>
      <c r="G149" s="303">
        <f t="shared" si="2"/>
        <v>-2.3671795555703812E-2</v>
      </c>
    </row>
    <row r="150" spans="2:7" x14ac:dyDescent="0.2">
      <c r="B150" s="299">
        <v>146</v>
      </c>
      <c r="C150" s="300" vm="434">
        <v>45982</v>
      </c>
      <c r="D150" s="301" vm="435">
        <v>391.09</v>
      </c>
      <c r="E150" s="302" vm="436">
        <v>590.07000000000005</v>
      </c>
      <c r="F150" s="303">
        <f t="shared" si="2"/>
        <v>-1.0474913341598672E-2</v>
      </c>
      <c r="G150" s="303">
        <f t="shared" si="2"/>
        <v>7.5127631601415324E-3</v>
      </c>
    </row>
    <row r="151" spans="2:7" x14ac:dyDescent="0.2">
      <c r="B151" s="299">
        <v>147</v>
      </c>
      <c r="C151" s="300" vm="437">
        <v>45985</v>
      </c>
      <c r="D151" s="301" vm="438">
        <v>417.78</v>
      </c>
      <c r="E151" s="302" vm="439">
        <v>605.16</v>
      </c>
      <c r="F151" s="303">
        <f t="shared" si="2"/>
        <v>6.8245160960392751E-2</v>
      </c>
      <c r="G151" s="303">
        <f t="shared" si="2"/>
        <v>2.5573237073567401E-2</v>
      </c>
    </row>
    <row r="152" spans="2:7" x14ac:dyDescent="0.2">
      <c r="B152" s="299">
        <v>148</v>
      </c>
      <c r="C152" s="300" vm="440">
        <v>45986</v>
      </c>
      <c r="D152" s="301" vm="441">
        <v>419.4</v>
      </c>
      <c r="E152" s="302" vm="442">
        <v>608.89</v>
      </c>
      <c r="F152" s="303">
        <f t="shared" si="2"/>
        <v>3.8776389487290073E-3</v>
      </c>
      <c r="G152" s="303">
        <f t="shared" si="2"/>
        <v>6.1636591975676161E-3</v>
      </c>
    </row>
    <row r="153" spans="2:7" x14ac:dyDescent="0.2">
      <c r="B153" s="299">
        <v>149</v>
      </c>
      <c r="C153" s="300" vm="443">
        <v>45987</v>
      </c>
      <c r="D153" s="301" vm="444">
        <v>426.58</v>
      </c>
      <c r="E153" s="302" vm="445">
        <v>614.27</v>
      </c>
      <c r="F153" s="303">
        <f t="shared" si="2"/>
        <v>1.7119694802098254E-2</v>
      </c>
      <c r="G153" s="303">
        <f t="shared" si="2"/>
        <v>8.8357502997257233E-3</v>
      </c>
    </row>
    <row r="154" spans="2:7" x14ac:dyDescent="0.2">
      <c r="B154" s="299">
        <v>150</v>
      </c>
      <c r="C154" s="300" vm="446">
        <v>45989</v>
      </c>
      <c r="D154" s="301" vm="447">
        <v>430.17</v>
      </c>
      <c r="E154" s="302" vm="397">
        <v>619.25</v>
      </c>
      <c r="F154" s="303">
        <f t="shared" si="2"/>
        <v>8.4157719536781667E-3</v>
      </c>
      <c r="G154" s="303">
        <f t="shared" si="2"/>
        <v>8.1071841372686582E-3</v>
      </c>
    </row>
    <row r="155" spans="2:7" x14ac:dyDescent="0.2">
      <c r="B155" s="299">
        <v>151</v>
      </c>
      <c r="C155" s="300" vm="448">
        <v>45992</v>
      </c>
      <c r="D155" s="301" vm="449">
        <v>430.14</v>
      </c>
      <c r="E155" s="302" vm="450">
        <v>617.16999999999996</v>
      </c>
      <c r="F155" s="303">
        <f t="shared" si="2"/>
        <v>-6.9739870283909978E-5</v>
      </c>
      <c r="G155" s="303">
        <f t="shared" si="2"/>
        <v>-3.3589018974566668E-3</v>
      </c>
    </row>
    <row r="156" spans="2:7" x14ac:dyDescent="0.2">
      <c r="B156" s="299">
        <v>152</v>
      </c>
      <c r="C156" s="300" vm="451">
        <v>45993</v>
      </c>
      <c r="D156" s="301" vm="351">
        <v>429.24</v>
      </c>
      <c r="E156" s="302" vm="452">
        <v>622</v>
      </c>
      <c r="F156" s="303">
        <f t="shared" si="2"/>
        <v>-2.0923420281768199E-3</v>
      </c>
      <c r="G156" s="303">
        <f t="shared" si="2"/>
        <v>7.8260446878494431E-3</v>
      </c>
    </row>
    <row r="157" spans="2:7" x14ac:dyDescent="0.2">
      <c r="B157" s="299">
        <v>153</v>
      </c>
      <c r="C157" s="300" vm="453">
        <v>45994</v>
      </c>
      <c r="D157" s="301" vm="454">
        <v>446.74</v>
      </c>
      <c r="E157" s="302" vm="455">
        <v>623.52</v>
      </c>
      <c r="F157" s="303">
        <f t="shared" si="2"/>
        <v>4.0769732550554466E-2</v>
      </c>
      <c r="G157" s="303">
        <f t="shared" si="2"/>
        <v>2.4437299035369483E-3</v>
      </c>
    </row>
    <row r="158" spans="2:7" x14ac:dyDescent="0.2">
      <c r="B158" s="299">
        <v>154</v>
      </c>
      <c r="C158" s="300" vm="456">
        <v>45995</v>
      </c>
      <c r="D158" s="301" vm="457">
        <v>454.53</v>
      </c>
      <c r="E158" s="302" vm="458">
        <v>622.94000000000005</v>
      </c>
      <c r="F158" s="303">
        <f t="shared" si="2"/>
        <v>1.7437435644894039E-2</v>
      </c>
      <c r="G158" s="303">
        <f t="shared" si="2"/>
        <v>-9.3020272004094059E-4</v>
      </c>
    </row>
    <row r="159" spans="2:7" x14ac:dyDescent="0.2">
      <c r="B159" s="299">
        <v>155</v>
      </c>
      <c r="C159" s="300" vm="459">
        <v>45996</v>
      </c>
      <c r="D159" s="301" vm="460">
        <v>455</v>
      </c>
      <c r="E159" s="302" vm="461">
        <v>625.48</v>
      </c>
      <c r="F159" s="303">
        <f t="shared" si="2"/>
        <v>1.0340351571954047E-3</v>
      </c>
      <c r="G159" s="303">
        <f t="shared" si="2"/>
        <v>4.0774392397341054E-3</v>
      </c>
    </row>
    <row r="160" spans="2:7" x14ac:dyDescent="0.2">
      <c r="B160" s="299">
        <v>156</v>
      </c>
      <c r="C160" s="300" vm="462">
        <v>45999</v>
      </c>
      <c r="D160" s="301" vm="463">
        <v>439.58</v>
      </c>
      <c r="E160" s="302" vm="464">
        <v>624.28</v>
      </c>
      <c r="F160" s="303">
        <f t="shared" si="2"/>
        <v>-3.3890109890109925E-2</v>
      </c>
      <c r="G160" s="303">
        <f t="shared" si="2"/>
        <v>-1.9185265715930893E-3</v>
      </c>
    </row>
    <row r="161" spans="2:7" x14ac:dyDescent="0.2">
      <c r="B161" s="299">
        <v>157</v>
      </c>
      <c r="C161" s="300" vm="465">
        <v>46000</v>
      </c>
      <c r="D161" s="301" vm="466">
        <v>445.17</v>
      </c>
      <c r="E161" s="302" vm="467">
        <v>625.04999999999995</v>
      </c>
      <c r="F161" s="303">
        <f t="shared" si="2"/>
        <v>1.2716684107557287E-2</v>
      </c>
      <c r="G161" s="303">
        <f t="shared" si="2"/>
        <v>1.2334209008777821E-3</v>
      </c>
    </row>
    <row r="162" spans="2:7" x14ac:dyDescent="0.2">
      <c r="B162" s="299">
        <v>158</v>
      </c>
      <c r="C162" s="300" vm="468">
        <v>46001</v>
      </c>
      <c r="D162" s="301" vm="469">
        <v>451.45</v>
      </c>
      <c r="E162" s="302" vm="470">
        <v>627.61</v>
      </c>
      <c r="F162" s="303">
        <f t="shared" si="2"/>
        <v>1.4106970370869493E-2</v>
      </c>
      <c r="G162" s="303">
        <f t="shared" si="2"/>
        <v>4.095672346212398E-3</v>
      </c>
    </row>
    <row r="163" spans="2:7" x14ac:dyDescent="0.2">
      <c r="B163" s="299">
        <v>159</v>
      </c>
      <c r="C163" s="300" vm="471">
        <v>46002</v>
      </c>
      <c r="D163" s="301" vm="472">
        <v>446.89</v>
      </c>
      <c r="E163" s="302" vm="473">
        <v>625.58000000000004</v>
      </c>
      <c r="F163" s="303">
        <f t="shared" si="2"/>
        <v>-1.0100786355078087E-2</v>
      </c>
      <c r="G163" s="303">
        <f t="shared" si="2"/>
        <v>-3.2344927582415397E-3</v>
      </c>
    </row>
    <row r="164" spans="2:7" x14ac:dyDescent="0.2">
      <c r="B164" s="299">
        <v>160</v>
      </c>
      <c r="C164" s="300" vm="474">
        <v>46003</v>
      </c>
      <c r="D164" s="301" vm="475">
        <v>458.96</v>
      </c>
      <c r="E164" s="302" vm="476">
        <v>613.62</v>
      </c>
      <c r="F164" s="303">
        <f t="shared" si="2"/>
        <v>2.7008883617892533E-2</v>
      </c>
      <c r="G164" s="303">
        <f t="shared" si="2"/>
        <v>-1.9118258256338175E-2</v>
      </c>
    </row>
    <row r="165" spans="2:7" x14ac:dyDescent="0.2">
      <c r="B165" s="299">
        <v>161</v>
      </c>
      <c r="C165" s="300" vm="477">
        <v>46006</v>
      </c>
      <c r="D165" s="301" vm="478">
        <v>475.31</v>
      </c>
      <c r="E165" s="302" vm="479">
        <v>610.54</v>
      </c>
      <c r="F165" s="303">
        <f t="shared" si="2"/>
        <v>3.562401952239852E-2</v>
      </c>
      <c r="G165" s="303">
        <f t="shared" si="2"/>
        <v>-5.0193931097422522E-3</v>
      </c>
    </row>
    <row r="166" spans="2:7" x14ac:dyDescent="0.2">
      <c r="B166" s="299">
        <v>162</v>
      </c>
      <c r="C166" s="300" vm="480">
        <v>46007</v>
      </c>
      <c r="D166" s="301" vm="481">
        <v>489.88</v>
      </c>
      <c r="E166" s="302" vm="482">
        <v>611.75</v>
      </c>
      <c r="F166" s="303">
        <f t="shared" si="2"/>
        <v>3.0653678651827214E-2</v>
      </c>
      <c r="G166" s="303">
        <f t="shared" si="2"/>
        <v>1.9818521309005739E-3</v>
      </c>
    </row>
    <row r="167" spans="2:7" x14ac:dyDescent="0.2">
      <c r="B167" s="299">
        <v>163</v>
      </c>
      <c r="C167" s="300" vm="483">
        <v>46008</v>
      </c>
      <c r="D167" s="301" vm="484">
        <v>467.26</v>
      </c>
      <c r="E167" s="302" vm="485">
        <v>600.41</v>
      </c>
      <c r="F167" s="303">
        <f t="shared" si="2"/>
        <v>-4.6174573364905699E-2</v>
      </c>
      <c r="G167" s="303">
        <f t="shared" si="2"/>
        <v>-1.8536984062116929E-2</v>
      </c>
    </row>
    <row r="168" spans="2:7" x14ac:dyDescent="0.2">
      <c r="B168" s="299">
        <v>164</v>
      </c>
      <c r="C168" s="300" vm="486">
        <v>46009</v>
      </c>
      <c r="D168" s="301" vm="487">
        <v>483.37</v>
      </c>
      <c r="E168" s="302" vm="488">
        <v>609.11</v>
      </c>
      <c r="F168" s="303">
        <f t="shared" si="2"/>
        <v>3.4477592774900513E-2</v>
      </c>
      <c r="G168" s="303">
        <f t="shared" si="2"/>
        <v>1.4490098432737707E-2</v>
      </c>
    </row>
    <row r="169" spans="2:7" x14ac:dyDescent="0.2">
      <c r="B169" s="299">
        <v>165</v>
      </c>
      <c r="C169" s="300" vm="489">
        <v>46010</v>
      </c>
      <c r="D169" s="301" vm="490">
        <v>481.2</v>
      </c>
      <c r="E169" s="302" vm="491">
        <v>617.04999999999995</v>
      </c>
      <c r="F169" s="303">
        <f t="shared" si="2"/>
        <v>-4.4893146037197507E-3</v>
      </c>
      <c r="G169" s="303">
        <f t="shared" si="2"/>
        <v>1.3035412322897245E-2</v>
      </c>
    </row>
    <row r="170" spans="2:7" x14ac:dyDescent="0.2">
      <c r="B170" s="299">
        <v>166</v>
      </c>
      <c r="C170" s="300" vm="492">
        <v>46013</v>
      </c>
      <c r="D170" s="301" vm="493">
        <v>488.73</v>
      </c>
      <c r="E170" s="302" vm="494">
        <v>619.21</v>
      </c>
      <c r="F170" s="303">
        <f t="shared" si="2"/>
        <v>1.5648379052369141E-2</v>
      </c>
      <c r="G170" s="303">
        <f t="shared" si="2"/>
        <v>3.5005266996192886E-3</v>
      </c>
    </row>
    <row r="171" spans="2:7" x14ac:dyDescent="0.2">
      <c r="B171" s="299">
        <v>167</v>
      </c>
      <c r="C171" s="300" vm="495">
        <v>46014</v>
      </c>
      <c r="D171" s="301" vm="496">
        <v>485.56</v>
      </c>
      <c r="E171" s="302" vm="497">
        <v>622.11</v>
      </c>
      <c r="F171" s="303">
        <f t="shared" si="2"/>
        <v>-6.4861989237411577E-3</v>
      </c>
      <c r="G171" s="303">
        <f t="shared" si="2"/>
        <v>4.6833868962064193E-3</v>
      </c>
    </row>
    <row r="172" spans="2:7" x14ac:dyDescent="0.2">
      <c r="B172" s="299">
        <v>168</v>
      </c>
      <c r="C172" s="300" vm="498">
        <v>46015</v>
      </c>
      <c r="D172" s="301" vm="499">
        <v>485.4</v>
      </c>
      <c r="E172" s="302" vm="500">
        <v>623.92999999999995</v>
      </c>
      <c r="F172" s="303">
        <f t="shared" si="2"/>
        <v>-3.2951643463222877E-4</v>
      </c>
      <c r="G172" s="303">
        <f t="shared" si="2"/>
        <v>2.9255276398063627E-3</v>
      </c>
    </row>
    <row r="173" spans="2:7" x14ac:dyDescent="0.2">
      <c r="B173" s="299">
        <v>169</v>
      </c>
      <c r="C173" s="300" vm="501">
        <v>46017</v>
      </c>
      <c r="D173" s="301" vm="502">
        <v>475.19</v>
      </c>
      <c r="E173" s="302" vm="503">
        <v>623.89</v>
      </c>
      <c r="F173" s="303">
        <f t="shared" si="2"/>
        <v>-2.1034198599093491E-2</v>
      </c>
      <c r="G173" s="303">
        <f t="shared" si="2"/>
        <v>-6.4109755902046095E-5</v>
      </c>
    </row>
    <row r="174" spans="2:7" x14ac:dyDescent="0.2">
      <c r="B174" s="299">
        <v>170</v>
      </c>
      <c r="C174" s="300" vm="504">
        <v>46020</v>
      </c>
      <c r="D174" s="301" vm="505">
        <v>459.64</v>
      </c>
      <c r="E174" s="302" vm="506">
        <v>620.87</v>
      </c>
      <c r="F174" s="303">
        <f t="shared" si="2"/>
        <v>-3.2723752604221494E-2</v>
      </c>
      <c r="G174" s="303">
        <f t="shared" si="2"/>
        <v>-4.8405969000945388E-3</v>
      </c>
    </row>
    <row r="175" spans="2:7" x14ac:dyDescent="0.2">
      <c r="B175" s="299">
        <v>171</v>
      </c>
      <c r="C175" s="300" vm="507">
        <v>46021</v>
      </c>
      <c r="D175" s="301" vm="508">
        <v>454.43</v>
      </c>
      <c r="E175" s="302" vm="509">
        <v>619.42999999999995</v>
      </c>
      <c r="F175" s="303">
        <f t="shared" si="2"/>
        <v>-1.133495779305539E-2</v>
      </c>
      <c r="G175" s="303">
        <f t="shared" si="2"/>
        <v>-2.3193261069145788E-3</v>
      </c>
    </row>
    <row r="176" spans="2:7" x14ac:dyDescent="0.2">
      <c r="B176" s="299">
        <v>172</v>
      </c>
      <c r="C176" s="300" vm="510">
        <v>46022</v>
      </c>
      <c r="D176" s="301" vm="511">
        <v>449.72</v>
      </c>
      <c r="E176" s="302" vm="512">
        <v>614.30999999999995</v>
      </c>
      <c r="F176" s="303">
        <f t="shared" si="2"/>
        <v>-1.0364632616684593E-2</v>
      </c>
      <c r="G176" s="303">
        <f t="shared" si="2"/>
        <v>-8.2656635939492833E-3</v>
      </c>
    </row>
    <row r="177" spans="2:7" x14ac:dyDescent="0.2">
      <c r="B177" s="299">
        <v>173</v>
      </c>
      <c r="C177" s="300" vm="513">
        <v>46024</v>
      </c>
      <c r="D177" s="301" vm="514">
        <v>438.07</v>
      </c>
      <c r="E177" s="302" vm="515">
        <v>613.12</v>
      </c>
      <c r="F177" s="303">
        <f t="shared" si="2"/>
        <v>-2.5905007560259791E-2</v>
      </c>
      <c r="G177" s="303">
        <f t="shared" si="2"/>
        <v>-1.9371327180087267E-3</v>
      </c>
    </row>
    <row r="178" spans="2:7" x14ac:dyDescent="0.2">
      <c r="B178" s="299">
        <v>174</v>
      </c>
      <c r="C178" s="300" vm="516">
        <v>46027</v>
      </c>
      <c r="D178" s="301" vm="517">
        <v>451.67</v>
      </c>
      <c r="E178" s="302" vm="518">
        <v>617.99</v>
      </c>
      <c r="F178" s="303">
        <f t="shared" si="2"/>
        <v>3.1045266738192578E-2</v>
      </c>
      <c r="G178" s="303">
        <f t="shared" si="2"/>
        <v>7.9429801670146214E-3</v>
      </c>
    </row>
    <row r="179" spans="2:7" x14ac:dyDescent="0.2">
      <c r="B179" s="299">
        <v>175</v>
      </c>
      <c r="C179" s="300" vm="519">
        <v>46028</v>
      </c>
      <c r="D179" s="301" vm="520">
        <v>432.96</v>
      </c>
      <c r="E179" s="302" vm="521">
        <v>623.41999999999996</v>
      </c>
      <c r="F179" s="303">
        <f t="shared" si="2"/>
        <v>-4.1424048531007229E-2</v>
      </c>
      <c r="G179" s="303">
        <f t="shared" si="2"/>
        <v>8.7865499441737733E-3</v>
      </c>
    </row>
    <row r="180" spans="2:7" x14ac:dyDescent="0.2">
      <c r="B180" s="299">
        <v>176</v>
      </c>
      <c r="C180" s="300" vm="522">
        <v>46029</v>
      </c>
      <c r="D180" s="301" vm="523">
        <v>431.41</v>
      </c>
      <c r="E180" s="302" vm="524">
        <v>624.02</v>
      </c>
      <c r="F180" s="303">
        <f t="shared" si="2"/>
        <v>-3.5800073909828959E-3</v>
      </c>
      <c r="G180" s="303">
        <f t="shared" si="2"/>
        <v>9.6243303070165027E-4</v>
      </c>
    </row>
    <row r="181" spans="2:7" x14ac:dyDescent="0.2">
      <c r="B181" s="299">
        <v>177</v>
      </c>
      <c r="C181" s="300" vm="525">
        <v>46030</v>
      </c>
      <c r="D181" s="301" vm="526">
        <v>435.8</v>
      </c>
      <c r="E181" s="302" vm="527">
        <v>620.47</v>
      </c>
      <c r="F181" s="303">
        <f t="shared" si="2"/>
        <v>1.0175934725666967E-2</v>
      </c>
      <c r="G181" s="303">
        <f t="shared" si="2"/>
        <v>-5.6889202269157311E-3</v>
      </c>
    </row>
    <row r="182" spans="2:7" x14ac:dyDescent="0.2">
      <c r="B182" s="299">
        <v>178</v>
      </c>
      <c r="C182" s="300" vm="528">
        <v>46031</v>
      </c>
      <c r="D182" s="301" vm="529">
        <v>445.01</v>
      </c>
      <c r="E182" s="302" vm="530">
        <v>626.65</v>
      </c>
      <c r="F182" s="303">
        <f t="shared" si="2"/>
        <v>2.1133547498852639E-2</v>
      </c>
      <c r="G182" s="303">
        <f t="shared" si="2"/>
        <v>9.9601914677582316E-3</v>
      </c>
    </row>
    <row r="183" spans="2:7" x14ac:dyDescent="0.2">
      <c r="B183" s="299">
        <v>179</v>
      </c>
      <c r="C183" s="300" vm="531">
        <v>46034</v>
      </c>
      <c r="D183" s="301" vm="532">
        <v>448.96</v>
      </c>
      <c r="E183" s="302" vm="533">
        <v>627.16999999999996</v>
      </c>
      <c r="F183" s="303">
        <f t="shared" si="2"/>
        <v>8.8762050291004441E-3</v>
      </c>
      <c r="G183" s="303">
        <f t="shared" si="2"/>
        <v>8.2980930343889221E-4</v>
      </c>
    </row>
    <row r="184" spans="2:7" x14ac:dyDescent="0.2">
      <c r="B184" s="299">
        <v>180</v>
      </c>
      <c r="C184" s="300" vm="534">
        <v>46035</v>
      </c>
      <c r="D184" s="301" vm="535">
        <v>447.2</v>
      </c>
      <c r="E184" s="302" vm="536">
        <v>626.24</v>
      </c>
      <c r="F184" s="303">
        <f t="shared" si="2"/>
        <v>-3.9201710620099589E-3</v>
      </c>
      <c r="G184" s="303">
        <f t="shared" si="2"/>
        <v>-1.4828515394549326E-3</v>
      </c>
    </row>
    <row r="185" spans="2:7" x14ac:dyDescent="0.2">
      <c r="B185" s="299">
        <v>181</v>
      </c>
      <c r="C185" s="300" vm="537">
        <v>46036</v>
      </c>
      <c r="D185" s="301" vm="538">
        <v>439.2</v>
      </c>
      <c r="E185" s="302" vm="539">
        <v>619.54999999999995</v>
      </c>
      <c r="F185" s="303">
        <f t="shared" si="2"/>
        <v>-1.7889087656529516E-2</v>
      </c>
      <c r="G185" s="303">
        <f t="shared" si="2"/>
        <v>-1.0682805314256602E-2</v>
      </c>
    </row>
    <row r="186" spans="2:7" x14ac:dyDescent="0.2">
      <c r="B186" s="299">
        <v>182</v>
      </c>
      <c r="C186" s="300" vm="540">
        <v>46037</v>
      </c>
      <c r="D186" s="301" vm="541">
        <v>438.57</v>
      </c>
      <c r="E186" s="302" vm="542">
        <v>621.78</v>
      </c>
      <c r="F186" s="303">
        <f t="shared" si="2"/>
        <v>-1.4344262295081865E-3</v>
      </c>
      <c r="G186" s="303">
        <f t="shared" si="2"/>
        <v>3.5993866516019989E-3</v>
      </c>
    </row>
    <row r="187" spans="2:7" x14ac:dyDescent="0.2">
      <c r="B187" s="299">
        <v>183</v>
      </c>
      <c r="C187" s="300" vm="543">
        <v>46038</v>
      </c>
      <c r="D187" s="301" vm="544">
        <v>437.5</v>
      </c>
      <c r="E187" s="302" vm="545">
        <v>621.26</v>
      </c>
      <c r="F187" s="303">
        <f t="shared" si="2"/>
        <v>-2.4397473607405732E-3</v>
      </c>
      <c r="G187" s="303">
        <f t="shared" si="2"/>
        <v>-8.3630866222776841E-4</v>
      </c>
    </row>
    <row r="188" spans="2:7" x14ac:dyDescent="0.2">
      <c r="B188" s="299">
        <v>184</v>
      </c>
      <c r="C188" s="300" vm="546">
        <v>46042</v>
      </c>
      <c r="D188" s="301" vm="547">
        <v>419.25</v>
      </c>
      <c r="E188" s="302" vm="548">
        <v>608.05999999999995</v>
      </c>
      <c r="F188" s="303">
        <f t="shared" si="2"/>
        <v>-4.1714285714285718E-2</v>
      </c>
      <c r="G188" s="303">
        <f t="shared" si="2"/>
        <v>-2.1247142903132416E-2</v>
      </c>
    </row>
    <row r="189" spans="2:7" x14ac:dyDescent="0.2">
      <c r="B189" s="299">
        <v>185</v>
      </c>
      <c r="C189" s="300" vm="549">
        <v>46043</v>
      </c>
      <c r="D189" s="301" vm="550">
        <v>431.44</v>
      </c>
      <c r="E189" s="302" vm="551">
        <v>616.28</v>
      </c>
      <c r="F189" s="303">
        <f t="shared" si="2"/>
        <v>2.9075730471079302E-2</v>
      </c>
      <c r="G189" s="303">
        <f t="shared" si="2"/>
        <v>1.351840278919848E-2</v>
      </c>
    </row>
    <row r="190" spans="2:7" x14ac:dyDescent="0.2">
      <c r="B190" s="299">
        <v>186</v>
      </c>
      <c r="C190" s="300" vm="552">
        <v>46044</v>
      </c>
      <c r="D190" s="301" vm="553">
        <v>449.36</v>
      </c>
      <c r="E190" s="302" vm="554">
        <v>620.76</v>
      </c>
      <c r="F190" s="303">
        <f t="shared" si="2"/>
        <v>4.1535323567587649E-2</v>
      </c>
      <c r="G190" s="303">
        <f t="shared" si="2"/>
        <v>7.2694229895502345E-3</v>
      </c>
    </row>
    <row r="191" spans="2:7" x14ac:dyDescent="0.2">
      <c r="B191" s="299">
        <v>187</v>
      </c>
      <c r="C191" s="300" vm="555">
        <v>46045</v>
      </c>
      <c r="D191" s="301" vm="556">
        <v>449.06</v>
      </c>
      <c r="E191" s="302" vm="557">
        <v>622.72</v>
      </c>
      <c r="F191" s="303">
        <f t="shared" si="2"/>
        <v>-6.6761616521277228E-4</v>
      </c>
      <c r="G191" s="303">
        <f t="shared" si="2"/>
        <v>3.1574199368516599E-3</v>
      </c>
    </row>
    <row r="192" spans="2:7" x14ac:dyDescent="0.2">
      <c r="B192" s="299">
        <v>188</v>
      </c>
      <c r="C192" s="300" vm="558">
        <v>46048</v>
      </c>
      <c r="D192" s="301" vm="559">
        <v>435.2</v>
      </c>
      <c r="E192" s="302" vm="560">
        <v>625.46</v>
      </c>
      <c r="F192" s="303">
        <f t="shared" si="2"/>
        <v>-3.086447245356971E-2</v>
      </c>
      <c r="G192" s="303">
        <f t="shared" si="2"/>
        <v>4.4000513874614738E-3</v>
      </c>
    </row>
    <row r="193" spans="2:7" x14ac:dyDescent="0.2">
      <c r="B193" s="299">
        <v>189</v>
      </c>
      <c r="C193" s="300" vm="561">
        <v>46049</v>
      </c>
      <c r="D193" s="301" vm="562">
        <v>430.9</v>
      </c>
      <c r="E193" s="302" vm="563">
        <v>631.13</v>
      </c>
      <c r="F193" s="303">
        <f t="shared" si="2"/>
        <v>-9.8805147058823786E-3</v>
      </c>
      <c r="G193" s="303">
        <f t="shared" si="2"/>
        <v>9.0653279186518054E-3</v>
      </c>
    </row>
    <row r="194" spans="2:7" x14ac:dyDescent="0.2">
      <c r="B194" s="299">
        <v>190</v>
      </c>
      <c r="C194" s="300" vm="564">
        <v>46050</v>
      </c>
      <c r="D194" s="301" vm="565">
        <v>431.46</v>
      </c>
      <c r="E194" s="302" vm="566">
        <v>633.22</v>
      </c>
      <c r="F194" s="303">
        <f t="shared" si="2"/>
        <v>1.299605476908801E-3</v>
      </c>
      <c r="G194" s="303">
        <f t="shared" si="2"/>
        <v>3.3115206058974092E-3</v>
      </c>
    </row>
    <row r="195" spans="2:7" x14ac:dyDescent="0.2">
      <c r="B195" s="299">
        <v>191</v>
      </c>
      <c r="C195" s="300" vm="567">
        <v>46051</v>
      </c>
      <c r="D195" s="301" vm="568">
        <v>416.56</v>
      </c>
      <c r="E195" s="302" vm="569">
        <v>629.42999999999995</v>
      </c>
      <c r="F195" s="303">
        <f t="shared" si="2"/>
        <v>-3.4533908125898065E-2</v>
      </c>
      <c r="G195" s="303">
        <f t="shared" si="2"/>
        <v>-5.9852815767033217E-3</v>
      </c>
    </row>
    <row r="196" spans="2:7" x14ac:dyDescent="0.2">
      <c r="B196" s="299">
        <v>192</v>
      </c>
      <c r="C196" s="300" vm="570">
        <v>46052</v>
      </c>
      <c r="D196" s="301" vm="571">
        <v>430.41</v>
      </c>
      <c r="E196" s="302" vm="572">
        <v>621.87</v>
      </c>
      <c r="F196" s="303">
        <f t="shared" si="2"/>
        <v>3.3248511618974512E-2</v>
      </c>
      <c r="G196" s="303">
        <f t="shared" si="2"/>
        <v>-1.201086697488195E-2</v>
      </c>
    </row>
    <row r="197" spans="2:7" x14ac:dyDescent="0.2">
      <c r="B197" s="299">
        <v>193</v>
      </c>
      <c r="C197" s="300" vm="573">
        <v>46055</v>
      </c>
      <c r="D197" s="301" vm="574">
        <v>421.81</v>
      </c>
      <c r="E197" s="302" vm="575">
        <v>626.14</v>
      </c>
      <c r="F197" s="303">
        <f t="shared" si="2"/>
        <v>-1.9980948398039131E-2</v>
      </c>
      <c r="G197" s="303">
        <f t="shared" si="2"/>
        <v>6.8663868654220044E-3</v>
      </c>
    </row>
    <row r="198" spans="2:7" x14ac:dyDescent="0.2">
      <c r="B198" s="299">
        <v>194</v>
      </c>
      <c r="C198" s="300" vm="576">
        <v>46056</v>
      </c>
      <c r="D198" s="301" vm="577">
        <v>421.96</v>
      </c>
      <c r="E198" s="302" vm="578">
        <v>616.52</v>
      </c>
      <c r="F198" s="303">
        <f t="shared" ref="F198:G256" si="3">(D198-D197)/D197</f>
        <v>3.5561034589027586E-4</v>
      </c>
      <c r="G198" s="303">
        <f t="shared" si="3"/>
        <v>-1.5363976107579782E-2</v>
      </c>
    </row>
    <row r="199" spans="2:7" x14ac:dyDescent="0.2">
      <c r="B199" s="299">
        <v>195</v>
      </c>
      <c r="C199" s="300" vm="579">
        <v>46057</v>
      </c>
      <c r="D199" s="301" vm="580">
        <v>406.01</v>
      </c>
      <c r="E199" s="302" vm="581">
        <v>605.75</v>
      </c>
      <c r="F199" s="303">
        <f t="shared" si="3"/>
        <v>-3.7799791449426461E-2</v>
      </c>
      <c r="G199" s="303">
        <f t="shared" si="3"/>
        <v>-1.7469019658729615E-2</v>
      </c>
    </row>
    <row r="200" spans="2:7" x14ac:dyDescent="0.2">
      <c r="B200" s="299">
        <v>196</v>
      </c>
      <c r="C200" s="300" vm="582">
        <v>46058</v>
      </c>
      <c r="D200" s="301" vm="583">
        <v>397.21</v>
      </c>
      <c r="E200" s="302" vm="584">
        <v>597.03</v>
      </c>
      <c r="F200" s="303">
        <f t="shared" si="3"/>
        <v>-2.1674342996477948E-2</v>
      </c>
      <c r="G200" s="303">
        <f t="shared" si="3"/>
        <v>-1.4395377631035952E-2</v>
      </c>
    </row>
    <row r="201" spans="2:7" x14ac:dyDescent="0.2">
      <c r="B201" s="299">
        <v>197</v>
      </c>
      <c r="C201" s="300" vm="585">
        <v>46059</v>
      </c>
      <c r="D201" s="301" vm="586">
        <v>411.11</v>
      </c>
      <c r="E201" s="302" vm="587">
        <v>609.65</v>
      </c>
      <c r="F201" s="303">
        <f t="shared" si="3"/>
        <v>3.4994083734045049E-2</v>
      </c>
      <c r="G201" s="303">
        <f t="shared" si="3"/>
        <v>2.1137966266351782E-2</v>
      </c>
    </row>
    <row r="202" spans="2:7" x14ac:dyDescent="0.2">
      <c r="B202" s="299">
        <v>198</v>
      </c>
      <c r="C202" s="300" vm="588">
        <v>46062</v>
      </c>
      <c r="D202" s="301" vm="589">
        <v>417.32</v>
      </c>
      <c r="E202" s="302" vm="590">
        <v>614.32000000000005</v>
      </c>
      <c r="F202" s="303">
        <f t="shared" si="3"/>
        <v>1.510544623093571E-2</v>
      </c>
      <c r="G202" s="303">
        <f t="shared" si="3"/>
        <v>7.6601328631183026E-3</v>
      </c>
    </row>
    <row r="203" spans="2:7" x14ac:dyDescent="0.2">
      <c r="B203" s="299">
        <v>199</v>
      </c>
      <c r="C203" s="300" vm="591">
        <v>46063</v>
      </c>
      <c r="D203" s="301" vm="592">
        <v>425.21</v>
      </c>
      <c r="E203" s="302" vm="593">
        <v>611.47</v>
      </c>
      <c r="F203" s="303">
        <f t="shared" si="3"/>
        <v>1.8906354835617718E-2</v>
      </c>
      <c r="G203" s="303">
        <f t="shared" si="3"/>
        <v>-4.6392759473890197E-3</v>
      </c>
    </row>
    <row r="204" spans="2:7" x14ac:dyDescent="0.2">
      <c r="B204" s="299">
        <v>200</v>
      </c>
      <c r="C204" s="300" vm="594">
        <v>46064</v>
      </c>
      <c r="D204" s="301" vm="595">
        <v>428.27</v>
      </c>
      <c r="E204" s="302" vm="596">
        <v>613.11</v>
      </c>
      <c r="F204" s="303">
        <f t="shared" si="3"/>
        <v>7.1964441099691976E-3</v>
      </c>
      <c r="G204" s="303">
        <f t="shared" si="3"/>
        <v>2.6820612622041741E-3</v>
      </c>
    </row>
    <row r="205" spans="2:7" x14ac:dyDescent="0.2">
      <c r="B205" s="299">
        <v>201</v>
      </c>
      <c r="C205" s="300" vm="597">
        <v>46065</v>
      </c>
      <c r="D205" s="301" vm="598">
        <v>417.07</v>
      </c>
      <c r="E205" s="302" vm="599">
        <v>600.64</v>
      </c>
      <c r="F205" s="303">
        <f t="shared" si="3"/>
        <v>-2.6151726714455807E-2</v>
      </c>
      <c r="G205" s="303">
        <f t="shared" si="3"/>
        <v>-2.0338927761739373E-2</v>
      </c>
    </row>
    <row r="206" spans="2:7" x14ac:dyDescent="0.2">
      <c r="B206" s="299">
        <v>202</v>
      </c>
      <c r="C206" s="300" vm="600">
        <v>46066</v>
      </c>
      <c r="D206" s="301" vm="601">
        <v>417.44</v>
      </c>
      <c r="E206" s="302" vm="602">
        <v>601.91999999999996</v>
      </c>
      <c r="F206" s="303">
        <f t="shared" si="3"/>
        <v>8.8714124727265096E-4</v>
      </c>
      <c r="G206" s="303">
        <f t="shared" si="3"/>
        <v>2.131060202450674E-3</v>
      </c>
    </row>
    <row r="207" spans="2:7" x14ac:dyDescent="0.2">
      <c r="B207" s="299">
        <v>203</v>
      </c>
      <c r="C207" s="300" vm="603">
        <v>46070</v>
      </c>
      <c r="D207" s="301" vm="604">
        <v>410.63</v>
      </c>
      <c r="E207" s="302" vm="605">
        <v>601.29999999999995</v>
      </c>
      <c r="F207" s="303">
        <f t="shared" si="3"/>
        <v>-1.6313721732464551E-2</v>
      </c>
      <c r="G207" s="303">
        <f t="shared" si="3"/>
        <v>-1.0300372142477482E-3</v>
      </c>
    </row>
    <row r="208" spans="2:7" x14ac:dyDescent="0.2">
      <c r="B208" s="299">
        <v>204</v>
      </c>
      <c r="C208" s="300" vm="606">
        <v>46071</v>
      </c>
      <c r="D208" s="301" vm="607">
        <v>411.32</v>
      </c>
      <c r="E208" s="302" vm="608">
        <v>605.79</v>
      </c>
      <c r="F208" s="303">
        <f t="shared" si="3"/>
        <v>1.6803448359837268E-3</v>
      </c>
      <c r="G208" s="303">
        <f t="shared" si="3"/>
        <v>7.4671544985864119E-3</v>
      </c>
    </row>
    <row r="209" spans="2:7" x14ac:dyDescent="0.2">
      <c r="B209" s="299">
        <v>205</v>
      </c>
      <c r="C209" s="300" vm="609">
        <v>46072</v>
      </c>
      <c r="D209" s="301" vm="610">
        <v>411.71</v>
      </c>
      <c r="E209" s="302" vm="611">
        <v>603.47</v>
      </c>
      <c r="F209" s="303">
        <f t="shared" si="3"/>
        <v>9.4816687737038399E-4</v>
      </c>
      <c r="G209" s="303">
        <f t="shared" si="3"/>
        <v>-3.8297099654994908E-3</v>
      </c>
    </row>
    <row r="210" spans="2:7" x14ac:dyDescent="0.2">
      <c r="B210" s="299">
        <v>206</v>
      </c>
      <c r="C210" s="300" vm="612">
        <v>46073</v>
      </c>
      <c r="D210" s="301" vm="613">
        <v>411.82</v>
      </c>
      <c r="E210" s="302" vm="614">
        <v>608.80999999999995</v>
      </c>
      <c r="F210" s="303">
        <f t="shared" si="3"/>
        <v>2.6717835369559557E-4</v>
      </c>
      <c r="G210" s="303">
        <f t="shared" si="3"/>
        <v>8.84882429946794E-3</v>
      </c>
    </row>
    <row r="211" spans="2:7" x14ac:dyDescent="0.2">
      <c r="B211" s="299">
        <v>207</v>
      </c>
      <c r="C211" s="300" vm="615">
        <v>46076</v>
      </c>
      <c r="D211" s="301" vm="616">
        <v>399.83</v>
      </c>
      <c r="E211" s="302" vm="617">
        <v>601.41</v>
      </c>
      <c r="F211" s="303">
        <f t="shared" si="3"/>
        <v>-2.9114661745422779E-2</v>
      </c>
      <c r="G211" s="303">
        <f t="shared" si="3"/>
        <v>-1.2154859479969084E-2</v>
      </c>
    </row>
    <row r="212" spans="2:7" x14ac:dyDescent="0.2">
      <c r="B212" s="299">
        <v>208</v>
      </c>
      <c r="C212" s="300" vm="618">
        <v>46077</v>
      </c>
      <c r="D212" s="301" vm="619">
        <v>409.38</v>
      </c>
      <c r="E212" s="302" vm="620">
        <v>607.87</v>
      </c>
      <c r="F212" s="303">
        <f t="shared" si="3"/>
        <v>2.3885151189255462E-2</v>
      </c>
      <c r="G212" s="303">
        <f t="shared" si="3"/>
        <v>1.0741424319515866E-2</v>
      </c>
    </row>
    <row r="213" spans="2:7" x14ac:dyDescent="0.2">
      <c r="B213" s="299">
        <v>209</v>
      </c>
      <c r="C213" s="300" vm="621">
        <v>46078</v>
      </c>
      <c r="D213" s="301" vm="622">
        <v>417.4</v>
      </c>
      <c r="E213" s="302" vm="623">
        <v>616.67999999999995</v>
      </c>
      <c r="F213" s="303">
        <f t="shared" si="3"/>
        <v>1.9590600420147496E-2</v>
      </c>
      <c r="G213" s="303">
        <f t="shared" si="3"/>
        <v>1.4493230460460206E-2</v>
      </c>
    </row>
    <row r="214" spans="2:7" x14ac:dyDescent="0.2">
      <c r="B214" s="299">
        <v>210</v>
      </c>
      <c r="C214" s="300" vm="624">
        <v>46079</v>
      </c>
      <c r="D214" s="301" vm="625">
        <v>408.58</v>
      </c>
      <c r="E214" s="302" vm="626">
        <v>609.24</v>
      </c>
      <c r="F214" s="303">
        <f t="shared" si="3"/>
        <v>-2.1130809774796342E-2</v>
      </c>
      <c r="G214" s="303">
        <f t="shared" si="3"/>
        <v>-1.2064604008561882E-2</v>
      </c>
    </row>
    <row r="215" spans="2:7" x14ac:dyDescent="0.2">
      <c r="B215" s="299">
        <v>211</v>
      </c>
      <c r="C215" s="300" vm="627">
        <v>46080</v>
      </c>
      <c r="D215" s="301" vm="628">
        <v>402.51</v>
      </c>
      <c r="E215" s="302" vm="629">
        <v>607.29</v>
      </c>
      <c r="F215" s="303">
        <f t="shared" si="3"/>
        <v>-1.4856331685349243E-2</v>
      </c>
      <c r="G215" s="303">
        <f t="shared" si="3"/>
        <v>-3.2007090801655265E-3</v>
      </c>
    </row>
    <row r="216" spans="2:7" x14ac:dyDescent="0.2">
      <c r="B216" s="299">
        <v>212</v>
      </c>
      <c r="C216" s="300" vm="630">
        <v>46083</v>
      </c>
      <c r="D216" s="301" vm="631">
        <v>403.32</v>
      </c>
      <c r="E216" s="302" vm="632">
        <v>608.09</v>
      </c>
      <c r="F216" s="303">
        <f t="shared" si="3"/>
        <v>2.012372363419548E-3</v>
      </c>
      <c r="G216" s="303">
        <f t="shared" si="3"/>
        <v>1.3173278005566833E-3</v>
      </c>
    </row>
    <row r="217" spans="2:7" x14ac:dyDescent="0.2">
      <c r="B217" s="299">
        <v>213</v>
      </c>
      <c r="C217" s="300" vm="633">
        <v>46084</v>
      </c>
      <c r="D217" s="301" vm="634">
        <v>392.43</v>
      </c>
      <c r="E217" s="302" vm="635">
        <v>601.58000000000004</v>
      </c>
      <c r="F217" s="303">
        <f t="shared" si="3"/>
        <v>-2.7000892591490595E-2</v>
      </c>
      <c r="G217" s="303">
        <f t="shared" si="3"/>
        <v>-1.0705652123863228E-2</v>
      </c>
    </row>
    <row r="218" spans="2:7" x14ac:dyDescent="0.2">
      <c r="B218" s="299">
        <v>214</v>
      </c>
      <c r="C218" s="300" vm="636">
        <v>46085</v>
      </c>
      <c r="D218" s="301" vm="637">
        <v>405.94</v>
      </c>
      <c r="E218" s="302" vm="638">
        <v>610.75</v>
      </c>
      <c r="F218" s="303">
        <f t="shared" si="3"/>
        <v>3.4426521927477485E-2</v>
      </c>
      <c r="G218" s="303">
        <f t="shared" si="3"/>
        <v>1.5243192925296649E-2</v>
      </c>
    </row>
    <row r="219" spans="2:7" x14ac:dyDescent="0.2">
      <c r="B219" s="299">
        <v>215</v>
      </c>
      <c r="C219" s="300" vm="639">
        <v>46086</v>
      </c>
      <c r="D219" s="301" vm="640">
        <v>405.55</v>
      </c>
      <c r="E219" s="302" vm="641">
        <v>608.91</v>
      </c>
      <c r="F219" s="303">
        <f t="shared" si="3"/>
        <v>-9.6073311326793699E-4</v>
      </c>
      <c r="G219" s="303">
        <f t="shared" si="3"/>
        <v>-3.0126893164142969E-3</v>
      </c>
    </row>
    <row r="220" spans="2:7" x14ac:dyDescent="0.2">
      <c r="B220" s="299">
        <v>216</v>
      </c>
      <c r="C220" s="300" vm="642">
        <v>46087</v>
      </c>
      <c r="D220" s="301" vm="643">
        <v>396.73</v>
      </c>
      <c r="E220" s="302" vm="644">
        <v>599.75</v>
      </c>
      <c r="F220" s="303">
        <f t="shared" si="3"/>
        <v>-2.1748243126618154E-2</v>
      </c>
      <c r="G220" s="303">
        <f t="shared" si="3"/>
        <v>-1.5043274047067659E-2</v>
      </c>
    </row>
    <row r="221" spans="2:7" x14ac:dyDescent="0.2">
      <c r="B221" s="299">
        <v>217</v>
      </c>
      <c r="C221" s="300" vm="645">
        <v>46090</v>
      </c>
      <c r="D221" s="301" vm="646">
        <v>398.68</v>
      </c>
      <c r="E221" s="302" vm="647">
        <v>607.76</v>
      </c>
      <c r="F221" s="303">
        <f t="shared" si="3"/>
        <v>4.9151816096589329E-3</v>
      </c>
      <c r="G221" s="303">
        <f t="shared" si="3"/>
        <v>1.3355564818674432E-2</v>
      </c>
    </row>
    <row r="222" spans="2:7" x14ac:dyDescent="0.2">
      <c r="B222" s="299">
        <v>218</v>
      </c>
      <c r="C222" s="300" vm="648">
        <v>46091</v>
      </c>
      <c r="D222" s="301" vm="649">
        <v>399.23500000000001</v>
      </c>
      <c r="E222" s="302" vm="650">
        <v>607.77</v>
      </c>
      <c r="F222" s="303">
        <f t="shared" si="3"/>
        <v>1.392093909902696E-3</v>
      </c>
      <c r="G222" s="303">
        <f t="shared" si="3"/>
        <v>1.6453863367103636E-5</v>
      </c>
    </row>
    <row r="223" spans="2:7" x14ac:dyDescent="0.2">
      <c r="B223" s="299">
        <v>219</v>
      </c>
      <c r="C223" s="300" vm="651">
        <v>46092</v>
      </c>
      <c r="D223" s="301" vm="652">
        <v>407.82</v>
      </c>
      <c r="E223" s="302" vm="653">
        <v>607.69000000000005</v>
      </c>
      <c r="F223" s="303">
        <f t="shared" si="3"/>
        <v>2.1503625684120828E-2</v>
      </c>
      <c r="G223" s="303">
        <f t="shared" si="3"/>
        <v>-1.3162874113550725E-4</v>
      </c>
    </row>
    <row r="224" spans="2:7" x14ac:dyDescent="0.2">
      <c r="B224" s="299">
        <v>220</v>
      </c>
      <c r="C224" s="300" vm="654">
        <v>46093</v>
      </c>
      <c r="D224" s="301" vm="655">
        <v>395.01</v>
      </c>
      <c r="E224" s="302" vm="656">
        <v>597.26</v>
      </c>
      <c r="F224" s="303">
        <f t="shared" si="3"/>
        <v>-3.1410916580844495E-2</v>
      </c>
      <c r="G224" s="303">
        <f t="shared" si="3"/>
        <v>-1.7163356316543078E-2</v>
      </c>
    </row>
    <row r="225" spans="2:7" x14ac:dyDescent="0.2">
      <c r="B225" s="299">
        <v>221</v>
      </c>
      <c r="C225" s="300" vm="657">
        <v>46094</v>
      </c>
      <c r="D225" s="301" vm="658">
        <v>391.2</v>
      </c>
      <c r="E225" s="302" vm="659">
        <v>593.72</v>
      </c>
      <c r="F225" s="303">
        <f t="shared" si="3"/>
        <v>-9.6453254347991253E-3</v>
      </c>
      <c r="G225" s="303">
        <f t="shared" si="3"/>
        <v>-5.9270669390214708E-3</v>
      </c>
    </row>
    <row r="226" spans="2:7" x14ac:dyDescent="0.2">
      <c r="B226" s="299">
        <v>222</v>
      </c>
      <c r="C226" s="300" vm="660">
        <v>46097</v>
      </c>
      <c r="D226" s="301" vm="661">
        <v>395.56</v>
      </c>
      <c r="E226" s="302" vm="662">
        <v>600.38</v>
      </c>
      <c r="F226" s="303">
        <f t="shared" si="3"/>
        <v>1.1145194274028665E-2</v>
      </c>
      <c r="G226" s="303">
        <f t="shared" si="3"/>
        <v>1.1217408879606495E-2</v>
      </c>
    </row>
    <row r="227" spans="2:7" x14ac:dyDescent="0.2">
      <c r="B227" s="299">
        <v>223</v>
      </c>
      <c r="C227" s="300" vm="663">
        <v>46098</v>
      </c>
      <c r="D227" s="301" vm="664">
        <v>399.27</v>
      </c>
      <c r="E227" s="302" vm="665">
        <v>603.30999999999995</v>
      </c>
      <c r="F227" s="303">
        <f t="shared" si="3"/>
        <v>9.3791080999089376E-3</v>
      </c>
      <c r="G227" s="303">
        <f t="shared" si="3"/>
        <v>4.8802425130749696E-3</v>
      </c>
    </row>
    <row r="228" spans="2:7" x14ac:dyDescent="0.2">
      <c r="B228" s="299">
        <v>224</v>
      </c>
      <c r="C228" s="300" vm="666">
        <v>46099</v>
      </c>
      <c r="D228" s="301" vm="667">
        <v>392.78</v>
      </c>
      <c r="E228" s="302" vm="668">
        <v>594.9</v>
      </c>
      <c r="F228" s="303">
        <f t="shared" si="3"/>
        <v>-1.6254664763192851E-2</v>
      </c>
      <c r="G228" s="303">
        <f t="shared" si="3"/>
        <v>-1.3939765626294887E-2</v>
      </c>
    </row>
    <row r="229" spans="2:7" x14ac:dyDescent="0.2">
      <c r="B229" s="299">
        <v>225</v>
      </c>
      <c r="C229" s="300" vm="669">
        <v>46100</v>
      </c>
      <c r="D229" s="301" vm="670">
        <v>380.3</v>
      </c>
      <c r="E229" s="302" vm="671">
        <v>593.02</v>
      </c>
      <c r="F229" s="303">
        <f t="shared" si="3"/>
        <v>-3.1773511889607316E-2</v>
      </c>
      <c r="G229" s="303">
        <f t="shared" si="3"/>
        <v>-3.1601949907547411E-3</v>
      </c>
    </row>
    <row r="230" spans="2:7" x14ac:dyDescent="0.2">
      <c r="B230" s="299">
        <v>226</v>
      </c>
      <c r="C230" s="300" vm="672">
        <v>46101</v>
      </c>
      <c r="D230" s="301" vm="673">
        <v>367.96</v>
      </c>
      <c r="E230" s="302" vm="674">
        <v>582.05999999999995</v>
      </c>
      <c r="F230" s="303">
        <f t="shared" si="3"/>
        <v>-3.2448067315277496E-2</v>
      </c>
      <c r="G230" s="303">
        <f t="shared" si="3"/>
        <v>-1.8481670095443724E-2</v>
      </c>
    </row>
    <row r="231" spans="2:7" x14ac:dyDescent="0.2">
      <c r="B231" s="299">
        <v>227</v>
      </c>
      <c r="C231" s="300" vm="675">
        <v>46104</v>
      </c>
      <c r="D231" s="301" vm="676">
        <v>380.85</v>
      </c>
      <c r="E231" s="302" vm="677">
        <v>588</v>
      </c>
      <c r="F231" s="303">
        <f t="shared" si="3"/>
        <v>3.5030981628437992E-2</v>
      </c>
      <c r="G231" s="303">
        <f t="shared" si="3"/>
        <v>1.0205133491392735E-2</v>
      </c>
    </row>
    <row r="232" spans="2:7" x14ac:dyDescent="0.2">
      <c r="B232" s="299">
        <v>228</v>
      </c>
      <c r="C232" s="300" vm="678">
        <v>46105</v>
      </c>
      <c r="D232" s="301" vm="679">
        <v>383.03</v>
      </c>
      <c r="E232" s="302" vm="680">
        <v>583.98</v>
      </c>
      <c r="F232" s="303">
        <f t="shared" si="3"/>
        <v>5.724038335302481E-3</v>
      </c>
      <c r="G232" s="303">
        <f t="shared" si="3"/>
        <v>-6.8367346938775202E-3</v>
      </c>
    </row>
    <row r="233" spans="2:7" x14ac:dyDescent="0.2">
      <c r="B233" s="299">
        <v>229</v>
      </c>
      <c r="C233" s="300" vm="681">
        <v>46106</v>
      </c>
      <c r="D233" s="301" vm="682">
        <v>385.95</v>
      </c>
      <c r="E233" s="302" vm="683">
        <v>587.82000000000005</v>
      </c>
      <c r="F233" s="303">
        <f t="shared" si="3"/>
        <v>7.6234237527087068E-3</v>
      </c>
      <c r="G233" s="303">
        <f t="shared" si="3"/>
        <v>6.575567656426644E-3</v>
      </c>
    </row>
    <row r="234" spans="2:7" x14ac:dyDescent="0.2">
      <c r="B234" s="299">
        <v>230</v>
      </c>
      <c r="C234" s="300" vm="684">
        <v>46107</v>
      </c>
      <c r="D234" s="301" vm="685">
        <v>372.11</v>
      </c>
      <c r="E234" s="302" vm="686">
        <v>573.79</v>
      </c>
      <c r="F234" s="303">
        <f t="shared" si="3"/>
        <v>-3.5859567301463856E-2</v>
      </c>
      <c r="G234" s="303">
        <f t="shared" si="3"/>
        <v>-2.3867850702596179E-2</v>
      </c>
    </row>
    <row r="235" spans="2:7" x14ac:dyDescent="0.2">
      <c r="B235" s="299">
        <v>231</v>
      </c>
      <c r="C235" s="300" vm="687">
        <v>46108</v>
      </c>
      <c r="D235" s="301" vm="688">
        <v>361.83</v>
      </c>
      <c r="E235" s="302" vm="689">
        <v>562.58000000000004</v>
      </c>
      <c r="F235" s="303">
        <f t="shared" si="3"/>
        <v>-2.7626239552820481E-2</v>
      </c>
      <c r="G235" s="303">
        <f t="shared" si="3"/>
        <v>-1.953676432144151E-2</v>
      </c>
    </row>
    <row r="236" spans="2:7" x14ac:dyDescent="0.2">
      <c r="B236" s="299">
        <v>232</v>
      </c>
      <c r="C236" s="300" vm="690">
        <v>46111</v>
      </c>
      <c r="D236" s="301" vm="691">
        <v>355.28</v>
      </c>
      <c r="E236" s="302" vm="692">
        <v>558.28</v>
      </c>
      <c r="F236" s="303">
        <f t="shared" si="3"/>
        <v>-1.8102423790177739E-2</v>
      </c>
      <c r="G236" s="303">
        <f t="shared" si="3"/>
        <v>-7.6433573891714389E-3</v>
      </c>
    </row>
    <row r="237" spans="2:7" x14ac:dyDescent="0.2">
      <c r="B237" s="299">
        <v>233</v>
      </c>
      <c r="C237" s="300" vm="693">
        <v>46112</v>
      </c>
      <c r="D237" s="301" vm="694">
        <v>371.75</v>
      </c>
      <c r="E237" s="302" vm="695">
        <v>577.17999999999995</v>
      </c>
      <c r="F237" s="303">
        <f t="shared" si="3"/>
        <v>4.6357802296780083E-2</v>
      </c>
      <c r="G237" s="303">
        <f t="shared" si="3"/>
        <v>3.3853980081679405E-2</v>
      </c>
    </row>
    <row r="238" spans="2:7" x14ac:dyDescent="0.2">
      <c r="B238" s="299">
        <v>234</v>
      </c>
      <c r="C238" s="300" vm="696">
        <v>46113</v>
      </c>
      <c r="D238" s="301" vm="697">
        <v>381.26</v>
      </c>
      <c r="E238" s="302" vm="698">
        <v>584.30999999999995</v>
      </c>
      <c r="F238" s="303">
        <f t="shared" si="3"/>
        <v>2.5581708137188946E-2</v>
      </c>
      <c r="G238" s="303">
        <f t="shared" si="3"/>
        <v>1.2353165390346159E-2</v>
      </c>
    </row>
    <row r="239" spans="2:7" x14ac:dyDescent="0.2">
      <c r="B239" s="299">
        <v>235</v>
      </c>
      <c r="C239" s="300" vm="699">
        <v>46114</v>
      </c>
      <c r="D239" s="301" vm="700">
        <v>360.59</v>
      </c>
      <c r="E239" s="302" vm="701">
        <v>584.98</v>
      </c>
      <c r="F239" s="303">
        <f t="shared" si="3"/>
        <v>-5.4214971410585996E-2</v>
      </c>
      <c r="G239" s="303">
        <f t="shared" si="3"/>
        <v>1.1466516061680834E-3</v>
      </c>
    </row>
    <row r="240" spans="2:7" x14ac:dyDescent="0.2">
      <c r="B240" s="299">
        <v>236</v>
      </c>
      <c r="C240" s="300" vm="702">
        <v>46118</v>
      </c>
      <c r="D240" s="301" vm="703">
        <v>352.82</v>
      </c>
      <c r="E240" s="302" vm="704">
        <v>588.5</v>
      </c>
      <c r="F240" s="303">
        <f t="shared" si="3"/>
        <v>-2.1548018525194772E-2</v>
      </c>
      <c r="G240" s="303">
        <f t="shared" si="3"/>
        <v>6.0172997367431051E-3</v>
      </c>
    </row>
    <row r="241" spans="2:7" x14ac:dyDescent="0.2">
      <c r="B241" s="299">
        <v>237</v>
      </c>
      <c r="C241" s="300" vm="705">
        <v>46119</v>
      </c>
      <c r="D241" s="301" vm="706">
        <v>346.65</v>
      </c>
      <c r="E241" s="302" vm="707">
        <v>588.59</v>
      </c>
      <c r="F241" s="303">
        <f t="shared" si="3"/>
        <v>-1.7487670766963368E-2</v>
      </c>
      <c r="G241" s="303">
        <f t="shared" si="3"/>
        <v>1.5293118096861824E-4</v>
      </c>
    </row>
    <row r="242" spans="2:7" x14ac:dyDescent="0.2">
      <c r="B242" s="299">
        <v>238</v>
      </c>
      <c r="C242" s="300" vm="708">
        <v>46120</v>
      </c>
      <c r="D242" s="301" vm="709">
        <v>343.25</v>
      </c>
      <c r="E242" s="302" vm="710">
        <v>606.09</v>
      </c>
      <c r="F242" s="303">
        <f t="shared" si="3"/>
        <v>-9.8081638540313786E-3</v>
      </c>
      <c r="G242" s="303">
        <f t="shared" si="3"/>
        <v>2.9732071560848807E-2</v>
      </c>
    </row>
    <row r="243" spans="2:7" x14ac:dyDescent="0.2">
      <c r="B243" s="299">
        <v>239</v>
      </c>
      <c r="C243" s="300" vm="711">
        <v>46121</v>
      </c>
      <c r="D243" s="301" vm="712">
        <v>345.62</v>
      </c>
      <c r="E243" s="302" vm="713">
        <v>610.19000000000005</v>
      </c>
      <c r="F243" s="303">
        <f t="shared" si="3"/>
        <v>6.9045884923525256E-3</v>
      </c>
      <c r="G243" s="303">
        <f t="shared" si="3"/>
        <v>6.7646719134122364E-3</v>
      </c>
    </row>
    <row r="244" spans="2:7" x14ac:dyDescent="0.2">
      <c r="B244" s="299">
        <v>240</v>
      </c>
      <c r="C244" s="300" vm="714">
        <v>46122</v>
      </c>
      <c r="D244" s="301" vm="715">
        <v>348.95</v>
      </c>
      <c r="E244" s="302" vm="716">
        <v>611.07000000000005</v>
      </c>
      <c r="F244" s="303">
        <f t="shared" si="3"/>
        <v>9.6348590938023955E-3</v>
      </c>
      <c r="G244" s="303">
        <f t="shared" si="3"/>
        <v>1.44217374916009E-3</v>
      </c>
    </row>
    <row r="245" spans="2:7" x14ac:dyDescent="0.2">
      <c r="B245" s="299">
        <v>241</v>
      </c>
      <c r="C245" s="300" vm="717">
        <v>46125</v>
      </c>
      <c r="D245" s="301" vm="718">
        <v>352.42</v>
      </c>
      <c r="E245" s="302" vm="719">
        <v>617.39</v>
      </c>
      <c r="F245" s="303">
        <f t="shared" si="3"/>
        <v>9.9441180684912665E-3</v>
      </c>
      <c r="G245" s="303">
        <f t="shared" si="3"/>
        <v>1.0342513950938412E-2</v>
      </c>
    </row>
    <row r="246" spans="2:7" x14ac:dyDescent="0.2">
      <c r="B246" s="299">
        <v>242</v>
      </c>
      <c r="C246" s="300" vm="720">
        <v>46126</v>
      </c>
      <c r="D246" s="301" vm="721">
        <v>364.2</v>
      </c>
      <c r="E246" s="302" vm="722">
        <v>628.6</v>
      </c>
      <c r="F246" s="303">
        <f t="shared" si="3"/>
        <v>3.3426025764712479E-2</v>
      </c>
      <c r="G246" s="303">
        <f t="shared" si="3"/>
        <v>1.815708061355065E-2</v>
      </c>
    </row>
    <row r="247" spans="2:7" x14ac:dyDescent="0.2">
      <c r="B247" s="299">
        <v>243</v>
      </c>
      <c r="C247" s="300" vm="723">
        <v>46127</v>
      </c>
      <c r="D247" s="301" vm="724">
        <v>391.95</v>
      </c>
      <c r="E247" s="302" vm="725">
        <v>637.4</v>
      </c>
      <c r="F247" s="303">
        <f t="shared" si="3"/>
        <v>7.6194398682042835E-2</v>
      </c>
      <c r="G247" s="303">
        <f t="shared" si="3"/>
        <v>1.3999363665287869E-2</v>
      </c>
    </row>
    <row r="248" spans="2:7" x14ac:dyDescent="0.2">
      <c r="B248" s="299">
        <v>244</v>
      </c>
      <c r="C248" s="300" vm="726">
        <v>46128</v>
      </c>
      <c r="D248" s="301" vm="727">
        <v>388.9</v>
      </c>
      <c r="E248" s="302" vm="728">
        <v>640.47</v>
      </c>
      <c r="F248" s="303">
        <f t="shared" si="3"/>
        <v>-7.7816047965301987E-3</v>
      </c>
      <c r="G248" s="303">
        <f t="shared" si="3"/>
        <v>4.8164417947914187E-3</v>
      </c>
    </row>
    <row r="249" spans="2:7" x14ac:dyDescent="0.2">
      <c r="B249" s="299">
        <v>245</v>
      </c>
      <c r="C249" s="300" vm="729">
        <v>46129</v>
      </c>
      <c r="D249" s="301" vm="730">
        <v>400.62</v>
      </c>
      <c r="E249" s="302" vm="731">
        <v>648.85</v>
      </c>
      <c r="F249" s="303">
        <f t="shared" si="3"/>
        <v>3.0136281820519487E-2</v>
      </c>
      <c r="G249" s="303">
        <f t="shared" si="3"/>
        <v>1.3084141333708051E-2</v>
      </c>
    </row>
    <row r="250" spans="2:7" x14ac:dyDescent="0.2">
      <c r="B250" s="299">
        <v>246</v>
      </c>
      <c r="C250" s="300" vm="732">
        <v>46132</v>
      </c>
      <c r="D250" s="301" vm="733">
        <v>392.5</v>
      </c>
      <c r="E250" s="302" vm="734">
        <v>646.79</v>
      </c>
      <c r="F250" s="303">
        <f t="shared" si="3"/>
        <v>-2.0268583695272339E-2</v>
      </c>
      <c r="G250" s="303">
        <f t="shared" si="3"/>
        <v>-3.1748478076597964E-3</v>
      </c>
    </row>
    <row r="251" spans="2:7" x14ac:dyDescent="0.2">
      <c r="B251" s="299">
        <v>247</v>
      </c>
      <c r="C251" s="300" vm="735">
        <v>46133</v>
      </c>
      <c r="D251" s="301" vm="736">
        <v>386.42</v>
      </c>
      <c r="E251" s="302" vm="737">
        <v>644.33000000000004</v>
      </c>
      <c r="F251" s="303">
        <f t="shared" si="3"/>
        <v>-1.5490445859872571E-2</v>
      </c>
      <c r="G251" s="303">
        <f t="shared" si="3"/>
        <v>-3.8033983209386705E-3</v>
      </c>
    </row>
    <row r="252" spans="2:7" x14ac:dyDescent="0.2">
      <c r="B252" s="299">
        <v>248</v>
      </c>
      <c r="C252" s="300" vm="738">
        <v>46134</v>
      </c>
      <c r="D252" s="301" vm="739">
        <v>387.51</v>
      </c>
      <c r="E252" s="302" vm="740">
        <v>655.11</v>
      </c>
      <c r="F252" s="303">
        <f t="shared" si="3"/>
        <v>2.8207649707571426E-3</v>
      </c>
      <c r="G252" s="303">
        <f t="shared" si="3"/>
        <v>1.6730557323110785E-2</v>
      </c>
    </row>
    <row r="253" spans="2:7" x14ac:dyDescent="0.2">
      <c r="B253" s="299">
        <v>249</v>
      </c>
      <c r="C253" s="300" vm="741">
        <v>46135</v>
      </c>
      <c r="D253" s="301" vm="742">
        <v>373.72</v>
      </c>
      <c r="E253" s="302" vm="743">
        <v>651.41999999999996</v>
      </c>
      <c r="F253" s="303">
        <f t="shared" si="3"/>
        <v>-3.5586178421201937E-2</v>
      </c>
      <c r="G253" s="303">
        <f t="shared" si="3"/>
        <v>-5.6326418464075568E-3</v>
      </c>
    </row>
    <row r="254" spans="2:7" x14ac:dyDescent="0.2">
      <c r="B254" s="299">
        <v>250</v>
      </c>
      <c r="C254" s="300" vm="744">
        <v>46136</v>
      </c>
      <c r="D254" s="301" vm="745">
        <v>376.3</v>
      </c>
      <c r="E254" s="302" vm="746">
        <v>663.88</v>
      </c>
      <c r="F254" s="303">
        <f t="shared" si="3"/>
        <v>6.9035641656854966E-3</v>
      </c>
      <c r="G254" s="303">
        <f t="shared" si="3"/>
        <v>1.9127444659359609E-2</v>
      </c>
    </row>
    <row r="255" spans="2:7" x14ac:dyDescent="0.2">
      <c r="B255" s="299">
        <v>251</v>
      </c>
      <c r="C255" s="300" vm="747">
        <v>46139</v>
      </c>
      <c r="D255" s="301" vm="748">
        <v>378.67</v>
      </c>
      <c r="E255" s="302" vm="749">
        <v>664.23</v>
      </c>
      <c r="F255" s="303">
        <f t="shared" si="3"/>
        <v>6.2981663566303598E-3</v>
      </c>
      <c r="G255" s="303">
        <f t="shared" si="3"/>
        <v>5.272037115141633E-4</v>
      </c>
    </row>
    <row r="256" spans="2:7" x14ac:dyDescent="0.2">
      <c r="B256" s="299">
        <v>252</v>
      </c>
      <c r="C256" s="300" vm="750">
        <v>46140</v>
      </c>
      <c r="D256" s="301" vm="751">
        <v>376.02</v>
      </c>
      <c r="E256" s="302" vm="752">
        <v>657.55</v>
      </c>
      <c r="F256" s="303">
        <f t="shared" si="3"/>
        <v>-6.9981778329417012E-3</v>
      </c>
      <c r="G256" s="303">
        <f t="shared" si="3"/>
        <v>-1.0056757448474269E-2</v>
      </c>
    </row>
    <row r="257" spans="3:3" x14ac:dyDescent="0.2">
      <c r="C257" s="30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D0E91-31A3-4D98-82C3-0F679C6C2B9D}">
  <dimension ref="A1:D47"/>
  <sheetViews>
    <sheetView topLeftCell="A8" workbookViewId="0">
      <selection activeCell="B32" sqref="B32"/>
    </sheetView>
  </sheetViews>
  <sheetFormatPr baseColWidth="10" defaultColWidth="8.83203125" defaultRowHeight="15" x14ac:dyDescent="0.2"/>
  <cols>
    <col min="1" max="1" width="23" bestFit="1" customWidth="1"/>
    <col min="2" max="2" width="15.5" bestFit="1" customWidth="1"/>
    <col min="3" max="3" width="14.5" bestFit="1" customWidth="1"/>
    <col min="4" max="4" width="9" customWidth="1"/>
  </cols>
  <sheetData>
    <row r="1" spans="1:4" x14ac:dyDescent="0.2">
      <c r="A1" t="s">
        <v>178</v>
      </c>
      <c r="B1" t="s">
        <v>179</v>
      </c>
      <c r="C1" t="s">
        <v>180</v>
      </c>
      <c r="D1" t="s">
        <v>218</v>
      </c>
    </row>
    <row r="2" spans="1:4" x14ac:dyDescent="0.2">
      <c r="A2" t="s">
        <v>203</v>
      </c>
      <c r="B2" t="s">
        <v>204</v>
      </c>
      <c r="D2">
        <v>1</v>
      </c>
    </row>
    <row r="3" spans="1:4" x14ac:dyDescent="0.2">
      <c r="A3" t="s">
        <v>203</v>
      </c>
      <c r="B3" t="s">
        <v>264</v>
      </c>
      <c r="D3">
        <v>1</v>
      </c>
    </row>
    <row r="4" spans="1:4" x14ac:dyDescent="0.2">
      <c r="A4" t="s">
        <v>203</v>
      </c>
      <c r="B4" t="s">
        <v>205</v>
      </c>
      <c r="D4">
        <v>1</v>
      </c>
    </row>
    <row r="5" spans="1:4" x14ac:dyDescent="0.2">
      <c r="A5" t="s">
        <v>203</v>
      </c>
      <c r="B5" t="s">
        <v>206</v>
      </c>
      <c r="D5">
        <v>1</v>
      </c>
    </row>
    <row r="6" spans="1:4" x14ac:dyDescent="0.2">
      <c r="A6" t="s">
        <v>203</v>
      </c>
      <c r="B6" t="s">
        <v>265</v>
      </c>
      <c r="D6">
        <v>1</v>
      </c>
    </row>
    <row r="7" spans="1:4" x14ac:dyDescent="0.2">
      <c r="A7" t="s">
        <v>181</v>
      </c>
      <c r="B7" t="s">
        <v>183</v>
      </c>
      <c r="D7">
        <v>2</v>
      </c>
    </row>
    <row r="8" spans="1:4" x14ac:dyDescent="0.2">
      <c r="A8" t="s">
        <v>181</v>
      </c>
      <c r="B8" t="s">
        <v>184</v>
      </c>
      <c r="D8">
        <v>2</v>
      </c>
    </row>
    <row r="9" spans="1:4" x14ac:dyDescent="0.2">
      <c r="A9" t="s">
        <v>181</v>
      </c>
      <c r="B9" t="s">
        <v>185</v>
      </c>
      <c r="D9">
        <v>2</v>
      </c>
    </row>
    <row r="10" spans="1:4" x14ac:dyDescent="0.2">
      <c r="A10" t="s">
        <v>181</v>
      </c>
      <c r="B10" t="s">
        <v>186</v>
      </c>
      <c r="D10">
        <v>2</v>
      </c>
    </row>
    <row r="11" spans="1:4" x14ac:dyDescent="0.2">
      <c r="A11" t="s">
        <v>181</v>
      </c>
      <c r="B11" t="s">
        <v>187</v>
      </c>
      <c r="D11">
        <v>2</v>
      </c>
    </row>
    <row r="12" spans="1:4" x14ac:dyDescent="0.2">
      <c r="A12" t="s">
        <v>181</v>
      </c>
      <c r="B12" t="s">
        <v>188</v>
      </c>
      <c r="D12">
        <v>2</v>
      </c>
    </row>
    <row r="13" spans="1:4" x14ac:dyDescent="0.2">
      <c r="A13" t="s">
        <v>181</v>
      </c>
      <c r="B13" t="s">
        <v>189</v>
      </c>
      <c r="D13">
        <v>3</v>
      </c>
    </row>
    <row r="14" spans="1:4" x14ac:dyDescent="0.2">
      <c r="A14" t="s">
        <v>181</v>
      </c>
      <c r="B14" t="s">
        <v>190</v>
      </c>
      <c r="D14">
        <v>3</v>
      </c>
    </row>
    <row r="15" spans="1:4" x14ac:dyDescent="0.2">
      <c r="A15" t="s">
        <v>181</v>
      </c>
      <c r="B15" t="s">
        <v>191</v>
      </c>
      <c r="D15">
        <v>3</v>
      </c>
    </row>
    <row r="16" spans="1:4" x14ac:dyDescent="0.2">
      <c r="A16" t="s">
        <v>181</v>
      </c>
      <c r="B16" t="s">
        <v>237</v>
      </c>
      <c r="D16">
        <v>3</v>
      </c>
    </row>
    <row r="17" spans="1:4" x14ac:dyDescent="0.2">
      <c r="A17" t="s">
        <v>181</v>
      </c>
      <c r="B17" t="s">
        <v>238</v>
      </c>
      <c r="D17">
        <v>3</v>
      </c>
    </row>
    <row r="18" spans="1:4" x14ac:dyDescent="0.2">
      <c r="A18" t="s">
        <v>181</v>
      </c>
      <c r="B18" t="s">
        <v>192</v>
      </c>
      <c r="D18">
        <v>3</v>
      </c>
    </row>
    <row r="19" spans="1:4" x14ac:dyDescent="0.2">
      <c r="A19" t="s">
        <v>181</v>
      </c>
      <c r="B19" t="s">
        <v>193</v>
      </c>
      <c r="D19">
        <v>3</v>
      </c>
    </row>
    <row r="20" spans="1:4" x14ac:dyDescent="0.2">
      <c r="A20" t="s">
        <v>181</v>
      </c>
      <c r="B20" t="s">
        <v>223</v>
      </c>
      <c r="D20">
        <v>3</v>
      </c>
    </row>
    <row r="21" spans="1:4" x14ac:dyDescent="0.2">
      <c r="A21" t="s">
        <v>181</v>
      </c>
      <c r="B21" t="s">
        <v>224</v>
      </c>
      <c r="D21">
        <v>3</v>
      </c>
    </row>
    <row r="22" spans="1:4" x14ac:dyDescent="0.2">
      <c r="A22" t="s">
        <v>181</v>
      </c>
      <c r="B22" t="s">
        <v>225</v>
      </c>
      <c r="D22">
        <v>3</v>
      </c>
    </row>
    <row r="23" spans="1:4" x14ac:dyDescent="0.2">
      <c r="A23" t="s">
        <v>181</v>
      </c>
      <c r="B23" t="s">
        <v>226</v>
      </c>
      <c r="D23">
        <v>3</v>
      </c>
    </row>
    <row r="24" spans="1:4" x14ac:dyDescent="0.2">
      <c r="A24" t="s">
        <v>181</v>
      </c>
      <c r="B24" t="s">
        <v>227</v>
      </c>
      <c r="C24" t="s">
        <v>219</v>
      </c>
      <c r="D24">
        <v>3</v>
      </c>
    </row>
    <row r="25" spans="1:4" x14ac:dyDescent="0.2">
      <c r="A25" t="s">
        <v>181</v>
      </c>
      <c r="B25" t="s">
        <v>228</v>
      </c>
      <c r="C25" t="s">
        <v>219</v>
      </c>
      <c r="D25">
        <v>3</v>
      </c>
    </row>
    <row r="26" spans="1:4" x14ac:dyDescent="0.2">
      <c r="A26" t="s">
        <v>181</v>
      </c>
      <c r="B26" t="s">
        <v>229</v>
      </c>
      <c r="C26" t="s">
        <v>221</v>
      </c>
      <c r="D26">
        <v>3</v>
      </c>
    </row>
    <row r="27" spans="1:4" x14ac:dyDescent="0.2">
      <c r="A27" t="s">
        <v>181</v>
      </c>
      <c r="B27" t="s">
        <v>230</v>
      </c>
      <c r="D27">
        <v>4</v>
      </c>
    </row>
    <row r="28" spans="1:4" x14ac:dyDescent="0.2">
      <c r="A28" t="s">
        <v>181</v>
      </c>
      <c r="B28" t="s">
        <v>220</v>
      </c>
      <c r="D28">
        <v>4</v>
      </c>
    </row>
    <row r="29" spans="1:4" x14ac:dyDescent="0.2">
      <c r="A29" t="s">
        <v>181</v>
      </c>
      <c r="B29" t="s">
        <v>231</v>
      </c>
      <c r="D29">
        <v>4</v>
      </c>
    </row>
    <row r="30" spans="1:4" x14ac:dyDescent="0.2">
      <c r="A30" t="s">
        <v>181</v>
      </c>
      <c r="B30" t="s">
        <v>269</v>
      </c>
      <c r="D30">
        <v>4</v>
      </c>
    </row>
    <row r="31" spans="1:4" x14ac:dyDescent="0.2">
      <c r="A31" t="s">
        <v>181</v>
      </c>
      <c r="B31" t="s">
        <v>270</v>
      </c>
      <c r="D31">
        <v>4</v>
      </c>
    </row>
    <row r="32" spans="1:4" x14ac:dyDescent="0.2">
      <c r="A32" t="s">
        <v>181</v>
      </c>
      <c r="B32" t="s">
        <v>266</v>
      </c>
      <c r="D32">
        <v>5</v>
      </c>
    </row>
    <row r="33" spans="1:4" x14ac:dyDescent="0.2">
      <c r="A33" t="s">
        <v>181</v>
      </c>
      <c r="B33" t="s">
        <v>195</v>
      </c>
      <c r="D33">
        <v>5</v>
      </c>
    </row>
    <row r="34" spans="1:4" x14ac:dyDescent="0.2">
      <c r="A34" t="s">
        <v>181</v>
      </c>
      <c r="B34" t="s">
        <v>196</v>
      </c>
      <c r="D34">
        <v>5</v>
      </c>
    </row>
    <row r="35" spans="1:4" x14ac:dyDescent="0.2">
      <c r="A35" t="s">
        <v>181</v>
      </c>
      <c r="B35" t="s">
        <v>232</v>
      </c>
      <c r="D35">
        <v>5</v>
      </c>
    </row>
    <row r="36" spans="1:4" x14ac:dyDescent="0.2">
      <c r="A36" t="s">
        <v>181</v>
      </c>
      <c r="B36" t="s">
        <v>197</v>
      </c>
      <c r="D36">
        <v>6</v>
      </c>
    </row>
    <row r="37" spans="1:4" x14ac:dyDescent="0.2">
      <c r="A37" t="s">
        <v>181</v>
      </c>
      <c r="B37" t="s">
        <v>198</v>
      </c>
      <c r="D37">
        <v>6</v>
      </c>
    </row>
    <row r="38" spans="1:4" x14ac:dyDescent="0.2">
      <c r="A38" t="s">
        <v>181</v>
      </c>
      <c r="B38" t="s">
        <v>207</v>
      </c>
      <c r="D38">
        <v>6</v>
      </c>
    </row>
    <row r="39" spans="1:4" x14ac:dyDescent="0.2">
      <c r="A39" t="s">
        <v>181</v>
      </c>
      <c r="B39" t="s">
        <v>201</v>
      </c>
      <c r="D39">
        <v>6</v>
      </c>
    </row>
    <row r="40" spans="1:4" x14ac:dyDescent="0.2">
      <c r="A40" t="s">
        <v>181</v>
      </c>
      <c r="B40" t="s">
        <v>199</v>
      </c>
      <c r="D40">
        <v>6</v>
      </c>
    </row>
    <row r="41" spans="1:4" x14ac:dyDescent="0.2">
      <c r="A41" t="s">
        <v>181</v>
      </c>
      <c r="B41" t="s">
        <v>200</v>
      </c>
      <c r="D41">
        <v>6</v>
      </c>
    </row>
    <row r="42" spans="1:4" x14ac:dyDescent="0.2">
      <c r="A42" t="s">
        <v>181</v>
      </c>
      <c r="B42" t="s">
        <v>208</v>
      </c>
      <c r="D42">
        <v>6</v>
      </c>
    </row>
    <row r="43" spans="1:4" x14ac:dyDescent="0.2">
      <c r="A43" t="s">
        <v>181</v>
      </c>
      <c r="B43" t="s">
        <v>202</v>
      </c>
      <c r="D43">
        <v>6</v>
      </c>
    </row>
    <row r="44" spans="1:4" x14ac:dyDescent="0.2">
      <c r="A44" t="s">
        <v>181</v>
      </c>
      <c r="B44" t="s">
        <v>233</v>
      </c>
      <c r="D44">
        <v>6</v>
      </c>
    </row>
    <row r="45" spans="1:4" x14ac:dyDescent="0.2">
      <c r="A45" t="s">
        <v>181</v>
      </c>
      <c r="B45" t="s">
        <v>234</v>
      </c>
      <c r="D45">
        <v>6</v>
      </c>
    </row>
    <row r="46" spans="1:4" x14ac:dyDescent="0.2">
      <c r="A46" t="s">
        <v>181</v>
      </c>
      <c r="B46" t="s">
        <v>235</v>
      </c>
      <c r="D46">
        <v>6</v>
      </c>
    </row>
    <row r="47" spans="1:4" x14ac:dyDescent="0.2">
      <c r="A47" t="s">
        <v>181</v>
      </c>
      <c r="B47" t="s">
        <v>236</v>
      </c>
      <c r="D47">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Income Statement Assumptions</vt:lpstr>
      <vt:lpstr>Simple Operating Model</vt:lpstr>
      <vt:lpstr>CONDFORM 1</vt:lpstr>
      <vt:lpstr>CONDFORM</vt:lpstr>
      <vt:lpstr>52 weeks share price data</vt:lpstr>
      <vt:lpstr>Grading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Barnett</dc:creator>
  <cp:lastModifiedBy>Baran, Solomon Robert</cp:lastModifiedBy>
  <dcterms:created xsi:type="dcterms:W3CDTF">2023-10-17T10:04:52Z</dcterms:created>
  <dcterms:modified xsi:type="dcterms:W3CDTF">2026-09-24T16:05:22Z</dcterms:modified>
</cp:coreProperties>
</file>